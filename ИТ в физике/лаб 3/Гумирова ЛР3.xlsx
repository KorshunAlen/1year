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Kanoo\Desktop\Алёна\ИТ в физике\3\"/>
    </mc:Choice>
  </mc:AlternateContent>
  <xr:revisionPtr revIDLastSave="0" documentId="13_ncr:1_{27A47866-908A-4F63-A625-4FA1BC5ED2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F8" i="1"/>
  <c r="B26" i="1"/>
  <c r="B25" i="1"/>
  <c r="B21" i="1"/>
  <c r="B22" i="1"/>
  <c r="B23" i="1"/>
  <c r="B24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33" i="1"/>
  <c r="B34" i="1"/>
  <c r="B35" i="1"/>
  <c r="B36" i="1"/>
  <c r="B37" i="1"/>
  <c r="B38" i="1"/>
  <c r="B39" i="1"/>
  <c r="B40" i="1"/>
  <c r="B41" i="1"/>
  <c r="B32" i="1"/>
  <c r="B44" i="1"/>
  <c r="B45" i="1"/>
  <c r="B46" i="1"/>
  <c r="B47" i="1"/>
  <c r="B48" i="1"/>
  <c r="B42" i="1"/>
  <c r="B43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1"/>
  <c r="F5" i="1" l="1"/>
</calcChain>
</file>

<file path=xl/sharedStrings.xml><?xml version="1.0" encoding="utf-8"?>
<sst xmlns="http://schemas.openxmlformats.org/spreadsheetml/2006/main" count="9" uniqueCount="9">
  <si>
    <r>
      <t>V</t>
    </r>
    <r>
      <rPr>
        <sz val="11"/>
        <color theme="1"/>
        <rFont val="Calibri"/>
        <family val="2"/>
        <charset val="204"/>
      </rPr>
      <t>₀</t>
    </r>
  </si>
  <si>
    <t>α</t>
  </si>
  <si>
    <t>t</t>
  </si>
  <si>
    <t>x</t>
  </si>
  <si>
    <t>y</t>
  </si>
  <si>
    <t>g</t>
  </si>
  <si>
    <t>max h</t>
  </si>
  <si>
    <t>L</t>
  </si>
  <si>
    <t>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</si>
</sst>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ill="1" applyBorder="1"/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800">
                <a:effectLst/>
              </a:rPr>
              <a:t>Зависимость горизонтальной скорости от</a:t>
            </a:r>
            <a:r>
              <a:rPr lang="ru-RU" sz="1800" baseline="0">
                <a:effectLst/>
              </a:rPr>
              <a:t> времени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9217283913012771E-2"/>
          <c:y val="8.2435576556104784E-2"/>
          <c:w val="0.87111428322213236"/>
          <c:h val="0.8346031372214970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Лист1!$A$32:$A$63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30.6</c:v>
                </c:pt>
              </c:numCache>
            </c:numRef>
          </c:xVal>
          <c:yVal>
            <c:numRef>
              <c:f>Лист1!$B$32:$B$63</c:f>
              <c:numCache>
                <c:formatCode>General</c:formatCode>
                <c:ptCount val="32"/>
                <c:pt idx="0">
                  <c:v>150.00000000000003</c:v>
                </c:pt>
                <c:pt idx="1">
                  <c:v>150.00000000000003</c:v>
                </c:pt>
                <c:pt idx="2">
                  <c:v>150.00000000000003</c:v>
                </c:pt>
                <c:pt idx="3">
                  <c:v>150.00000000000003</c:v>
                </c:pt>
                <c:pt idx="4">
                  <c:v>150.00000000000003</c:v>
                </c:pt>
                <c:pt idx="5">
                  <c:v>150.00000000000003</c:v>
                </c:pt>
                <c:pt idx="6">
                  <c:v>150.00000000000003</c:v>
                </c:pt>
                <c:pt idx="7">
                  <c:v>150.00000000000003</c:v>
                </c:pt>
                <c:pt idx="8">
                  <c:v>150.00000000000003</c:v>
                </c:pt>
                <c:pt idx="9">
                  <c:v>150.00000000000003</c:v>
                </c:pt>
                <c:pt idx="10">
                  <c:v>150.00000000000003</c:v>
                </c:pt>
                <c:pt idx="11">
                  <c:v>150.00000000000003</c:v>
                </c:pt>
                <c:pt idx="12">
                  <c:v>150.00000000000003</c:v>
                </c:pt>
                <c:pt idx="13">
                  <c:v>150.00000000000003</c:v>
                </c:pt>
                <c:pt idx="14">
                  <c:v>150.00000000000003</c:v>
                </c:pt>
                <c:pt idx="15">
                  <c:v>150.00000000000003</c:v>
                </c:pt>
                <c:pt idx="16">
                  <c:v>150.00000000000003</c:v>
                </c:pt>
                <c:pt idx="17">
                  <c:v>150.00000000000003</c:v>
                </c:pt>
                <c:pt idx="18">
                  <c:v>150.00000000000003</c:v>
                </c:pt>
                <c:pt idx="19">
                  <c:v>150.00000000000003</c:v>
                </c:pt>
                <c:pt idx="20">
                  <c:v>150.00000000000003</c:v>
                </c:pt>
                <c:pt idx="21">
                  <c:v>150.00000000000003</c:v>
                </c:pt>
                <c:pt idx="22">
                  <c:v>150.00000000000003</c:v>
                </c:pt>
                <c:pt idx="23">
                  <c:v>150.00000000000003</c:v>
                </c:pt>
                <c:pt idx="24">
                  <c:v>150.00000000000003</c:v>
                </c:pt>
                <c:pt idx="25">
                  <c:v>150.00000000000003</c:v>
                </c:pt>
                <c:pt idx="26">
                  <c:v>150.00000000000003</c:v>
                </c:pt>
                <c:pt idx="27">
                  <c:v>150.00000000000003</c:v>
                </c:pt>
                <c:pt idx="28">
                  <c:v>150.00000000000003</c:v>
                </c:pt>
                <c:pt idx="29">
                  <c:v>150.00000000000003</c:v>
                </c:pt>
                <c:pt idx="30">
                  <c:v>150.00000000000003</c:v>
                </c:pt>
                <c:pt idx="31">
                  <c:v>150.00000000000003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5A-4A44-8B8E-4E63F4CEA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150864"/>
        <c:axId val="1489153360"/>
      </c:scatterChart>
      <c:valAx>
        <c:axId val="148915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</a:t>
                </a:r>
                <a:r>
                  <a:rPr lang="en-US" sz="1400" baseline="0"/>
                  <a:t>, c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91401213124786262"/>
              <c:y val="0.8565795967861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153360"/>
        <c:crosses val="autoZero"/>
        <c:crossBetween val="midCat"/>
      </c:valAx>
      <c:valAx>
        <c:axId val="1489153360"/>
        <c:scaling>
          <c:orientation val="minMax"/>
          <c:max val="1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Vx, </a:t>
                </a:r>
                <a:r>
                  <a:rPr lang="ru-RU" sz="1400"/>
                  <a:t>м</a:t>
                </a:r>
                <a:r>
                  <a:rPr lang="en-US" sz="1400"/>
                  <a:t>/c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10022609367449987"/>
              <c:y val="6.59427406551870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15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Траектория движения пули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985645382754447"/>
          <c:y val="9.2743056596108833E-2"/>
          <c:w val="0.85377428380988252"/>
          <c:h val="0.7846127560177277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Лист1!$A$5:$A$26</c:f>
              <c:numCache>
                <c:formatCode>General</c:formatCode>
                <c:ptCount val="22"/>
                <c:pt idx="0">
                  <c:v>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  <c:pt idx="6">
                  <c:v>2400</c:v>
                </c:pt>
                <c:pt idx="7">
                  <c:v>2800</c:v>
                </c:pt>
                <c:pt idx="8">
                  <c:v>3200</c:v>
                </c:pt>
                <c:pt idx="9">
                  <c:v>3600</c:v>
                </c:pt>
                <c:pt idx="10">
                  <c:v>4000</c:v>
                </c:pt>
                <c:pt idx="11">
                  <c:v>4400</c:v>
                </c:pt>
                <c:pt idx="12">
                  <c:v>4800</c:v>
                </c:pt>
                <c:pt idx="13">
                  <c:v>5200</c:v>
                </c:pt>
                <c:pt idx="14">
                  <c:v>5600</c:v>
                </c:pt>
                <c:pt idx="15">
                  <c:v>6000</c:v>
                </c:pt>
                <c:pt idx="16">
                  <c:v>6400</c:v>
                </c:pt>
                <c:pt idx="17">
                  <c:v>6800</c:v>
                </c:pt>
                <c:pt idx="18">
                  <c:v>7200</c:v>
                </c:pt>
                <c:pt idx="19">
                  <c:v>7600</c:v>
                </c:pt>
                <c:pt idx="20">
                  <c:v>7900</c:v>
                </c:pt>
                <c:pt idx="21">
                  <c:v>7952</c:v>
                </c:pt>
              </c:numCache>
            </c:numRef>
          </c:xVal>
          <c:yVal>
            <c:numRef>
              <c:f>Лист1!$B$5:$B$26</c:f>
              <c:numCache>
                <c:formatCode>General</c:formatCode>
                <c:ptCount val="22"/>
                <c:pt idx="0">
                  <c:v>0</c:v>
                </c:pt>
                <c:pt idx="1">
                  <c:v>657.97587858310624</c:v>
                </c:pt>
                <c:pt idx="2">
                  <c:v>1246.2628682773236</c:v>
                </c:pt>
                <c:pt idx="3">
                  <c:v>1764.860969082652</c:v>
                </c:pt>
                <c:pt idx="4">
                  <c:v>2213.7701809990917</c:v>
                </c:pt>
                <c:pt idx="5">
                  <c:v>2592.9905040266426</c:v>
                </c:pt>
                <c:pt idx="6">
                  <c:v>2902.5219381653042</c:v>
                </c:pt>
                <c:pt idx="7">
                  <c:v>3142.3644834150778</c:v>
                </c:pt>
                <c:pt idx="8">
                  <c:v>3312.5181397759611</c:v>
                </c:pt>
                <c:pt idx="9">
                  <c:v>3412.9829072479574</c:v>
                </c:pt>
                <c:pt idx="10">
                  <c:v>3443.7587858310631</c:v>
                </c:pt>
                <c:pt idx="11">
                  <c:v>3404.8457755252803</c:v>
                </c:pt>
                <c:pt idx="12">
                  <c:v>3296.2438763306091</c:v>
                </c:pt>
                <c:pt idx="13">
                  <c:v>3117.9530882470499</c:v>
                </c:pt>
                <c:pt idx="14">
                  <c:v>2869.9734112746009</c:v>
                </c:pt>
                <c:pt idx="15">
                  <c:v>2552.3048454132622</c:v>
                </c:pt>
                <c:pt idx="16">
                  <c:v>2164.9473906630337</c:v>
                </c:pt>
                <c:pt idx="17">
                  <c:v>1707.9010470239191</c:v>
                </c:pt>
                <c:pt idx="18">
                  <c:v>1181.1658144959165</c:v>
                </c:pt>
                <c:pt idx="19">
                  <c:v>584.7416930790223</c:v>
                </c:pt>
                <c:pt idx="20">
                  <c:v>91.690268683019895</c:v>
                </c:pt>
                <c:pt idx="21">
                  <c:v>2.2418173432670301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BB-4C52-9830-327C6F281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616848"/>
        <c:axId val="1781623504"/>
      </c:scatterChart>
      <c:valAx>
        <c:axId val="178161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x,</a:t>
                </a:r>
                <a:r>
                  <a:rPr lang="ru-RU" sz="1200"/>
                  <a:t>м</a:t>
                </a:r>
              </a:p>
            </c:rich>
          </c:tx>
          <c:layout>
            <c:manualLayout>
              <c:xMode val="edge"/>
              <c:yMode val="edge"/>
              <c:x val="0.92391211677265439"/>
              <c:y val="0.83227925286609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1623504"/>
        <c:crosses val="autoZero"/>
        <c:crossBetween val="midCat"/>
      </c:valAx>
      <c:valAx>
        <c:axId val="178162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y,</a:t>
                </a:r>
                <a:r>
                  <a:rPr lang="ru-RU" sz="1200"/>
                  <a:t>м</a:t>
                </a:r>
              </a:p>
            </c:rich>
          </c:tx>
          <c:layout>
            <c:manualLayout>
              <c:xMode val="edge"/>
              <c:yMode val="edge"/>
              <c:x val="0.12050602470344045"/>
              <c:y val="9.476193805960955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161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323850</xdr:colOff>
      <xdr:row>11</xdr:row>
      <xdr:rowOff>11430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D2FAD5-89D2-22F4-F611-DE027B7F24E3}"/>
            </a:ext>
          </a:extLst>
        </xdr:cNvPr>
        <xdr:cNvSpPr txBox="1"/>
      </xdr:nvSpPr>
      <xdr:spPr>
        <a:xfrm>
          <a:off x="4591050" y="20231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6</xdr:col>
      <xdr:colOff>431803</xdr:colOff>
      <xdr:row>30</xdr:row>
      <xdr:rowOff>27213</xdr:rowOff>
    </xdr:from>
    <xdr:to>
      <xdr:col>18</xdr:col>
      <xdr:colOff>339272</xdr:colOff>
      <xdr:row>56</xdr:row>
      <xdr:rowOff>-1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05B28FB-90DA-A4D0-6DF7-19362F3E8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566963</xdr:colOff>
      <xdr:row>1</xdr:row>
      <xdr:rowOff>102507</xdr:rowOff>
    </xdr:from>
    <xdr:to>
      <xdr:col>18</xdr:col>
      <xdr:colOff>299357</xdr:colOff>
      <xdr:row>28</xdr:row>
      <xdr:rowOff>9072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2E8633F-1380-DD88-4075-EA2B32362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408214</xdr:colOff>
      <xdr:row>15</xdr:row>
      <xdr:rowOff>9071</xdr:rowOff>
    </xdr:from>
    <xdr:to>
      <xdr:col>13</xdr:col>
      <xdr:colOff>362857</xdr:colOff>
      <xdr:row>16</xdr:row>
      <xdr:rowOff>108857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0CAA5E2-B15C-F65C-5386-84B8746DBE00}"/>
            </a:ext>
          </a:extLst>
        </xdr:cNvPr>
        <xdr:cNvSpPr txBox="1"/>
      </xdr:nvSpPr>
      <xdr:spPr>
        <a:xfrm>
          <a:off x="7701643" y="2730500"/>
          <a:ext cx="562428" cy="2812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h</a:t>
          </a:r>
          <a:r>
            <a:rPr lang="en-US" sz="1200" baseline="0"/>
            <a:t> max</a:t>
          </a:r>
          <a:endParaRPr lang="ru-RU" sz="12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0.48612</cdr:x>
      <cdr:y>0.21276</cdr:y>
    </cdr:from>
    <cdr:to>
      <cdr:x>0.48741</cdr:x>
      <cdr:y>0.86785</cdr:y>
    </cdr:to>
    <cdr:cxnSp macro="">
      <cdr:nvCxnSpPr>
        <cdr:cNvPr id="2" name="Прямая соединительная линия 1">
          <a:extLst xmlns:a="http://schemas.openxmlformats.org/drawingml/2006/main">
            <a:ext uri="{FF2B5EF4-FFF2-40B4-BE49-F238E27FC236}">
              <a16:creationId xmlns:a16="http://schemas.microsoft.com/office/drawing/2014/main" id="{9355B802-FC1A-90AA-6F51-4FE89B97B7DD}"/>
            </a:ext>
          </a:extLst>
        </cdr:cNvPr>
        <cdr:cNvCxnSpPr/>
      </cdr:nvCxnSpPr>
      <cdr:spPr>
        <a:xfrm xmlns:a="http://schemas.openxmlformats.org/drawingml/2006/main">
          <a:off x="3415394" y="1022350"/>
          <a:ext cx="9072" cy="314778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0.11169</cdr:x>
      <cdr:y>0.92637</cdr:y>
    </cdr:from>
    <cdr:to>
      <cdr:x>0.86572</cdr:x>
      <cdr:y>0.93015</cdr:y>
    </cdr:to>
    <cdr:cxnSp macro="">
      <cdr:nvCxnSpPr>
        <cdr:cNvPr id="4" name="Прямая соединительная линия 3">
          <a:extLst xmlns:a="http://schemas.openxmlformats.org/drawingml/2006/main">
            <a:ext uri="{FF2B5EF4-FFF2-40B4-BE49-F238E27FC236}">
              <a16:creationId xmlns:a16="http://schemas.microsoft.com/office/drawing/2014/main" id="{42EBC66D-BE3E-FC78-2851-4DFE50BB0CB5}"/>
            </a:ext>
          </a:extLst>
        </cdr:cNvPr>
        <cdr:cNvCxnSpPr/>
      </cdr:nvCxnSpPr>
      <cdr:spPr>
        <a:xfrm xmlns:a="http://schemas.openxmlformats.org/drawingml/2006/main" flipH="1" flipV="1">
          <a:off x="784680" y="4451348"/>
          <a:ext cx="5297714" cy="1814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0.52356</cdr:x>
      <cdr:y>0.91882</cdr:y>
    </cdr:from>
    <cdr:to>
      <cdr:x>0.5623</cdr:x>
      <cdr:y>0.96979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00497115-B521-683E-8A44-0F5AA214CDBE}"/>
            </a:ext>
          </a:extLst>
        </cdr:cNvPr>
        <cdr:cNvSpPr txBox="1"/>
      </cdr:nvSpPr>
      <cdr:spPr>
        <a:xfrm xmlns:a="http://schemas.openxmlformats.org/drawingml/2006/main">
          <a:off x="3678466" y="4415064"/>
          <a:ext cx="272143" cy="24492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L</a:t>
          </a:r>
          <a:endParaRPr lang="ru-RU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tabSelected="1" zoomScale="70" zoomScaleNormal="70" workbookViewId="0">
      <selection activeCell="E12" sqref="E12"/>
    </sheetView>
  </sheetViews>
  <sheetFormatPr defaultRowHeight="14.5" x14ac:dyDescent="0.35"/>
  <cols>
    <col min="21" max="21" width="20.90625" customWidth="1"/>
    <col min="23" max="23" width="17.26953125" customWidth="1"/>
  </cols>
  <sheetData>
    <row r="1" spans="1:21" x14ac:dyDescent="0.35">
      <c r="A1" s="3" t="s">
        <v>0</v>
      </c>
      <c r="B1" s="4" t="s">
        <v>1</v>
      </c>
      <c r="C1" s="3" t="s">
        <v>5</v>
      </c>
    </row>
    <row r="2" spans="1:21" x14ac:dyDescent="0.35">
      <c r="A2" s="2">
        <v>300</v>
      </c>
      <c r="B2" s="2">
        <f>PI()/3</f>
        <v>1.0471975511965976</v>
      </c>
      <c r="C2" s="2">
        <v>9.8000000000000007</v>
      </c>
    </row>
    <row r="3" spans="1:21" x14ac:dyDescent="0.35">
      <c r="A3" s="1"/>
      <c r="B3" s="1"/>
      <c r="C3" s="1"/>
    </row>
    <row r="4" spans="1:21" x14ac:dyDescent="0.35">
      <c r="A4" s="9" t="s">
        <v>3</v>
      </c>
      <c r="B4" s="9" t="s">
        <v>4</v>
      </c>
      <c r="C4" s="8"/>
      <c r="D4" s="6"/>
      <c r="F4" s="3" t="s">
        <v>6</v>
      </c>
    </row>
    <row r="5" spans="1:21" x14ac:dyDescent="0.35">
      <c r="A5" s="5">
        <v>0</v>
      </c>
      <c r="B5" s="5">
        <f>TAN($B$2)*A5-($C$2/(2*$A$2*$A$2*COS($B$2)*COS($B$2)))*A5*A5</f>
        <v>0</v>
      </c>
      <c r="C5" s="7"/>
      <c r="D5" s="6"/>
      <c r="F5" s="2">
        <f>MAX(B5:B26)</f>
        <v>3443.7587858310631</v>
      </c>
    </row>
    <row r="6" spans="1:21" x14ac:dyDescent="0.35">
      <c r="A6" s="5">
        <v>400</v>
      </c>
      <c r="B6" s="5">
        <f>TAN($B$2)*A6-($C$2/(2*$A$2*$A$2*COS($B$2)*COS($B$2)))*A6*A6</f>
        <v>657.97587858310624</v>
      </c>
      <c r="C6" s="7"/>
      <c r="D6" s="6"/>
    </row>
    <row r="7" spans="1:21" x14ac:dyDescent="0.35">
      <c r="A7" s="5">
        <v>800</v>
      </c>
      <c r="B7" s="5">
        <f>TAN($B$2)*A7-($C$2/(2*$A$2*$A$2*COS($B$2)*COS($B$2)))*A7*A7</f>
        <v>1246.2628682773236</v>
      </c>
      <c r="C7" s="7"/>
      <c r="D7" s="6"/>
      <c r="F7" s="3" t="s">
        <v>7</v>
      </c>
    </row>
    <row r="8" spans="1:21" x14ac:dyDescent="0.35">
      <c r="A8" s="5">
        <v>1200</v>
      </c>
      <c r="B8" s="5">
        <f>TAN($B$2)*A8-($C$2/(2*$A$2*$A$2*COS($B$2)*COS($B$2)))*A8*A8</f>
        <v>1764.860969082652</v>
      </c>
      <c r="C8" s="7"/>
      <c r="D8" s="6"/>
      <c r="F8" s="2">
        <f>MAX(A5:A26)</f>
        <v>7952</v>
      </c>
    </row>
    <row r="9" spans="1:21" ht="15" customHeight="1" x14ac:dyDescent="0.35">
      <c r="A9" s="5">
        <v>1600</v>
      </c>
      <c r="B9" s="5">
        <f>TAN($B$2)*A9-($C$2/(2*$A$2*$A$2*COS($B$2)*COS($B$2)))*A9*A9</f>
        <v>2213.7701809990917</v>
      </c>
      <c r="C9" s="7"/>
      <c r="D9" s="6"/>
      <c r="U9" s="10"/>
    </row>
    <row r="10" spans="1:21" x14ac:dyDescent="0.35">
      <c r="A10" s="5">
        <v>2000</v>
      </c>
      <c r="B10" s="5">
        <f>TAN($B$2)*A10-($C$2/(2*$A$2*$A$2*COS($B$2)*COS($B$2)))*A10*A10</f>
        <v>2592.9905040266426</v>
      </c>
      <c r="C10" s="7"/>
      <c r="D10" s="6"/>
    </row>
    <row r="11" spans="1:21" x14ac:dyDescent="0.35">
      <c r="A11" s="5">
        <v>2400</v>
      </c>
      <c r="B11" s="5">
        <f>TAN($B$2)*A11-($C$2/(2*$A$2*$A$2*COS($B$2)*COS($B$2)))*A11*A11</f>
        <v>2902.5219381653042</v>
      </c>
      <c r="C11" s="7"/>
      <c r="D11" s="6"/>
    </row>
    <row r="12" spans="1:21" x14ac:dyDescent="0.35">
      <c r="A12" s="5">
        <v>2800</v>
      </c>
      <c r="B12" s="5">
        <f>TAN($B$2)*A12-($C$2/(2*$A$2*$A$2*COS($B$2)*COS($B$2)))*A12*A12</f>
        <v>3142.3644834150778</v>
      </c>
      <c r="C12" s="7"/>
      <c r="D12" s="6"/>
    </row>
    <row r="13" spans="1:21" x14ac:dyDescent="0.35">
      <c r="A13" s="5">
        <v>3200</v>
      </c>
      <c r="B13" s="5">
        <f>TAN($B$2)*A13-($C$2/(2*$A$2*$A$2*COS($B$2)*COS($B$2)))*A13*A13</f>
        <v>3312.5181397759611</v>
      </c>
      <c r="C13" s="7"/>
      <c r="D13" s="6"/>
    </row>
    <row r="14" spans="1:21" x14ac:dyDescent="0.35">
      <c r="A14" s="5">
        <v>3600</v>
      </c>
      <c r="B14" s="5">
        <f>TAN($B$2)*A14-($C$2/(2*$A$2*$A$2*COS($B$2)*COS($B$2)))*A14*A14</f>
        <v>3412.9829072479574</v>
      </c>
      <c r="C14" s="7"/>
      <c r="D14" s="6"/>
    </row>
    <row r="15" spans="1:21" x14ac:dyDescent="0.35">
      <c r="A15" s="5">
        <v>4000</v>
      </c>
      <c r="B15" s="5">
        <f>TAN($B$2)*A15-($C$2/(2*$A$2*$A$2*COS($B$2)*COS($B$2)))*A15*A15</f>
        <v>3443.7587858310631</v>
      </c>
      <c r="C15" s="7"/>
      <c r="D15" s="6"/>
    </row>
    <row r="16" spans="1:21" x14ac:dyDescent="0.35">
      <c r="A16" s="5">
        <v>4400</v>
      </c>
      <c r="B16" s="5">
        <f>TAN($B$2)*A16-($C$2/(2*$A$2*$A$2*COS($B$2)*COS($B$2)))*A16*A16</f>
        <v>3404.8457755252803</v>
      </c>
      <c r="C16" s="7"/>
      <c r="D16" s="6"/>
    </row>
    <row r="17" spans="1:4" x14ac:dyDescent="0.35">
      <c r="A17" s="5">
        <v>4800</v>
      </c>
      <c r="B17" s="5">
        <f>TAN($B$2)*A17-($C$2/(2*$A$2*$A$2*COS($B$2)*COS($B$2)))*A17*A17</f>
        <v>3296.2438763306091</v>
      </c>
      <c r="C17" s="7"/>
      <c r="D17" s="6"/>
    </row>
    <row r="18" spans="1:4" x14ac:dyDescent="0.35">
      <c r="A18" s="5">
        <v>5200</v>
      </c>
      <c r="B18" s="5">
        <f>TAN($B$2)*A18-($C$2/(2*$A$2*$A$2*COS($B$2)*COS($B$2)))*A18*A18</f>
        <v>3117.9530882470499</v>
      </c>
      <c r="C18" s="7"/>
      <c r="D18" s="6"/>
    </row>
    <row r="19" spans="1:4" x14ac:dyDescent="0.35">
      <c r="A19" s="5">
        <v>5600</v>
      </c>
      <c r="B19" s="5">
        <f>TAN($B$2)*A19-($C$2/(2*$A$2*$A$2*COS($B$2)*COS($B$2)))*A19*A19</f>
        <v>2869.9734112746009</v>
      </c>
      <c r="C19" s="7"/>
      <c r="D19" s="6"/>
    </row>
    <row r="20" spans="1:4" x14ac:dyDescent="0.35">
      <c r="A20" s="5">
        <v>6000</v>
      </c>
      <c r="B20" s="5">
        <f>TAN($B$2)*A20-($C$2/(2*$A$2*$A$2*COS($B$2)*COS($B$2)))*A20*A20</f>
        <v>2552.3048454132622</v>
      </c>
      <c r="C20" s="7"/>
      <c r="D20" s="6"/>
    </row>
    <row r="21" spans="1:4" x14ac:dyDescent="0.35">
      <c r="A21" s="5">
        <v>6400</v>
      </c>
      <c r="B21" s="5">
        <f>TAN($B$2)*A21-($C$2/(2*$A$2*$A$2*COS($B$2)*COS($B$2)))*A21*A21</f>
        <v>2164.9473906630337</v>
      </c>
      <c r="C21" s="7"/>
      <c r="D21" s="6"/>
    </row>
    <row r="22" spans="1:4" x14ac:dyDescent="0.35">
      <c r="A22" s="5">
        <v>6800</v>
      </c>
      <c r="B22" s="5">
        <f>TAN($B$2)*A22-($C$2/(2*$A$2*$A$2*COS($B$2)*COS($B$2)))*A22*A22</f>
        <v>1707.9010470239191</v>
      </c>
      <c r="C22" s="7"/>
      <c r="D22" s="6"/>
    </row>
    <row r="23" spans="1:4" x14ac:dyDescent="0.35">
      <c r="A23" s="5">
        <v>7200</v>
      </c>
      <c r="B23" s="5">
        <f>TAN($B$2)*A23-($C$2/(2*$A$2*$A$2*COS($B$2)*COS($B$2)))*A23*A23</f>
        <v>1181.1658144959165</v>
      </c>
      <c r="C23" s="7"/>
      <c r="D23" s="6"/>
    </row>
    <row r="24" spans="1:4" x14ac:dyDescent="0.35">
      <c r="A24" s="5">
        <v>7600</v>
      </c>
      <c r="B24" s="5">
        <f>TAN($B$2)*A24-($C$2/(2*$A$2*$A$2*COS($B$2)*COS($B$2)))*A24*A24</f>
        <v>584.7416930790223</v>
      </c>
      <c r="C24" s="7"/>
      <c r="D24" s="6"/>
    </row>
    <row r="25" spans="1:4" x14ac:dyDescent="0.35">
      <c r="A25" s="5">
        <v>7900</v>
      </c>
      <c r="B25" s="5">
        <f>TAN($B$2)*A25-($C$2/(2*$A$2*$A$2*COS($B$2)*COS($B$2)))*A25*A25</f>
        <v>91.690268683019895</v>
      </c>
      <c r="C25" s="7"/>
      <c r="D25" s="6"/>
    </row>
    <row r="26" spans="1:4" x14ac:dyDescent="0.35">
      <c r="A26" s="5">
        <v>7952</v>
      </c>
      <c r="B26" s="5">
        <f>TAN($B$2)*A26-($C$2/(2*$A$2*$A$2*COS($B$2)*COS($B$2)))*A26*A26</f>
        <v>2.2418173432670301</v>
      </c>
      <c r="C26" s="7"/>
      <c r="D26" s="6"/>
    </row>
    <row r="27" spans="1:4" x14ac:dyDescent="0.35">
      <c r="A27" s="7"/>
      <c r="B27" s="7"/>
      <c r="C27" s="7"/>
      <c r="D27" s="6"/>
    </row>
    <row r="28" spans="1:4" x14ac:dyDescent="0.35">
      <c r="A28" s="7"/>
      <c r="B28" s="7"/>
      <c r="C28" s="7"/>
      <c r="D28" s="6"/>
    </row>
    <row r="29" spans="1:4" x14ac:dyDescent="0.35">
      <c r="A29" s="7"/>
      <c r="B29" s="7"/>
      <c r="C29" s="7"/>
      <c r="D29" s="6"/>
    </row>
    <row r="30" spans="1:4" x14ac:dyDescent="0.35">
      <c r="A30" s="7"/>
      <c r="B30" s="7"/>
      <c r="C30" s="7"/>
      <c r="D30" s="6"/>
    </row>
    <row r="31" spans="1:4" x14ac:dyDescent="0.35">
      <c r="A31" s="3" t="s">
        <v>2</v>
      </c>
      <c r="B31" s="4" t="s">
        <v>8</v>
      </c>
      <c r="C31" s="7"/>
      <c r="D31" s="6"/>
    </row>
    <row r="32" spans="1:4" x14ac:dyDescent="0.35">
      <c r="A32" s="2">
        <v>0</v>
      </c>
      <c r="B32" s="5">
        <f>$A$2*COS($B$2)</f>
        <v>150.00000000000003</v>
      </c>
      <c r="C32" s="7"/>
      <c r="D32" s="6"/>
    </row>
    <row r="33" spans="1:4" x14ac:dyDescent="0.35">
      <c r="A33" s="2">
        <v>1</v>
      </c>
      <c r="B33" s="5">
        <f t="shared" ref="B33:B63" si="0">$A$2*COS($B$2)</f>
        <v>150.00000000000003</v>
      </c>
      <c r="C33" s="7"/>
      <c r="D33" s="6"/>
    </row>
    <row r="34" spans="1:4" x14ac:dyDescent="0.35">
      <c r="A34" s="2">
        <v>2</v>
      </c>
      <c r="B34" s="5">
        <f t="shared" si="0"/>
        <v>150.00000000000003</v>
      </c>
      <c r="C34" s="7"/>
      <c r="D34" s="6"/>
    </row>
    <row r="35" spans="1:4" x14ac:dyDescent="0.35">
      <c r="A35" s="2">
        <v>3</v>
      </c>
      <c r="B35" s="5">
        <f t="shared" si="0"/>
        <v>150.00000000000003</v>
      </c>
      <c r="C35" s="7"/>
      <c r="D35" s="6"/>
    </row>
    <row r="36" spans="1:4" x14ac:dyDescent="0.35">
      <c r="A36" s="2">
        <v>4</v>
      </c>
      <c r="B36" s="5">
        <f t="shared" si="0"/>
        <v>150.00000000000003</v>
      </c>
      <c r="C36" s="7"/>
      <c r="D36" s="6"/>
    </row>
    <row r="37" spans="1:4" x14ac:dyDescent="0.35">
      <c r="A37" s="2">
        <v>5</v>
      </c>
      <c r="B37" s="5">
        <f t="shared" si="0"/>
        <v>150.00000000000003</v>
      </c>
      <c r="C37" s="7"/>
      <c r="D37" s="6"/>
    </row>
    <row r="38" spans="1:4" x14ac:dyDescent="0.35">
      <c r="A38" s="2">
        <v>6</v>
      </c>
      <c r="B38" s="5">
        <f t="shared" si="0"/>
        <v>150.00000000000003</v>
      </c>
    </row>
    <row r="39" spans="1:4" x14ac:dyDescent="0.35">
      <c r="A39" s="2">
        <v>7</v>
      </c>
      <c r="B39" s="5">
        <f t="shared" si="0"/>
        <v>150.00000000000003</v>
      </c>
    </row>
    <row r="40" spans="1:4" x14ac:dyDescent="0.35">
      <c r="A40" s="2">
        <v>8</v>
      </c>
      <c r="B40" s="5">
        <f t="shared" si="0"/>
        <v>150.00000000000003</v>
      </c>
    </row>
    <row r="41" spans="1:4" x14ac:dyDescent="0.35">
      <c r="A41" s="2">
        <v>9</v>
      </c>
      <c r="B41" s="5">
        <f t="shared" si="0"/>
        <v>150.00000000000003</v>
      </c>
    </row>
    <row r="42" spans="1:4" x14ac:dyDescent="0.35">
      <c r="A42" s="2">
        <v>10</v>
      </c>
      <c r="B42" s="5">
        <f t="shared" si="0"/>
        <v>150.00000000000003</v>
      </c>
    </row>
    <row r="43" spans="1:4" x14ac:dyDescent="0.35">
      <c r="A43" s="2">
        <v>11</v>
      </c>
      <c r="B43" s="5">
        <f t="shared" si="0"/>
        <v>150.00000000000003</v>
      </c>
    </row>
    <row r="44" spans="1:4" x14ac:dyDescent="0.35">
      <c r="A44" s="2">
        <v>12</v>
      </c>
      <c r="B44" s="5">
        <f t="shared" si="0"/>
        <v>150.00000000000003</v>
      </c>
    </row>
    <row r="45" spans="1:4" x14ac:dyDescent="0.35">
      <c r="A45" s="2">
        <v>13</v>
      </c>
      <c r="B45" s="5">
        <f t="shared" si="0"/>
        <v>150.00000000000003</v>
      </c>
    </row>
    <row r="46" spans="1:4" x14ac:dyDescent="0.35">
      <c r="A46" s="2">
        <v>14</v>
      </c>
      <c r="B46" s="5">
        <f t="shared" si="0"/>
        <v>150.00000000000003</v>
      </c>
    </row>
    <row r="47" spans="1:4" x14ac:dyDescent="0.35">
      <c r="A47" s="2">
        <v>15</v>
      </c>
      <c r="B47" s="5">
        <f t="shared" si="0"/>
        <v>150.00000000000003</v>
      </c>
    </row>
    <row r="48" spans="1:4" x14ac:dyDescent="0.35">
      <c r="A48" s="2">
        <v>16</v>
      </c>
      <c r="B48" s="5">
        <f t="shared" si="0"/>
        <v>150.00000000000003</v>
      </c>
    </row>
    <row r="49" spans="1:2" x14ac:dyDescent="0.35">
      <c r="A49" s="2">
        <v>17</v>
      </c>
      <c r="B49" s="5">
        <f t="shared" si="0"/>
        <v>150.00000000000003</v>
      </c>
    </row>
    <row r="50" spans="1:2" x14ac:dyDescent="0.35">
      <c r="A50" s="2">
        <v>18</v>
      </c>
      <c r="B50" s="5">
        <f t="shared" si="0"/>
        <v>150.00000000000003</v>
      </c>
    </row>
    <row r="51" spans="1:2" x14ac:dyDescent="0.35">
      <c r="A51" s="2">
        <v>19</v>
      </c>
      <c r="B51" s="5">
        <f t="shared" si="0"/>
        <v>150.00000000000003</v>
      </c>
    </row>
    <row r="52" spans="1:2" x14ac:dyDescent="0.35">
      <c r="A52" s="2">
        <v>20</v>
      </c>
      <c r="B52" s="5">
        <f t="shared" si="0"/>
        <v>150.00000000000003</v>
      </c>
    </row>
    <row r="53" spans="1:2" x14ac:dyDescent="0.35">
      <c r="A53" s="2">
        <v>21</v>
      </c>
      <c r="B53" s="5">
        <f t="shared" si="0"/>
        <v>150.00000000000003</v>
      </c>
    </row>
    <row r="54" spans="1:2" x14ac:dyDescent="0.35">
      <c r="A54" s="2">
        <v>22</v>
      </c>
      <c r="B54" s="5">
        <f t="shared" si="0"/>
        <v>150.00000000000003</v>
      </c>
    </row>
    <row r="55" spans="1:2" x14ac:dyDescent="0.35">
      <c r="A55" s="2">
        <v>23</v>
      </c>
      <c r="B55" s="5">
        <f t="shared" si="0"/>
        <v>150.00000000000003</v>
      </c>
    </row>
    <row r="56" spans="1:2" x14ac:dyDescent="0.35">
      <c r="A56" s="2">
        <v>24</v>
      </c>
      <c r="B56" s="5">
        <f t="shared" si="0"/>
        <v>150.00000000000003</v>
      </c>
    </row>
    <row r="57" spans="1:2" x14ac:dyDescent="0.35">
      <c r="A57" s="2">
        <v>25</v>
      </c>
      <c r="B57" s="5">
        <f t="shared" si="0"/>
        <v>150.00000000000003</v>
      </c>
    </row>
    <row r="58" spans="1:2" x14ac:dyDescent="0.35">
      <c r="A58" s="2">
        <v>26</v>
      </c>
      <c r="B58" s="5">
        <f t="shared" si="0"/>
        <v>150.00000000000003</v>
      </c>
    </row>
    <row r="59" spans="1:2" x14ac:dyDescent="0.35">
      <c r="A59" s="2">
        <v>27</v>
      </c>
      <c r="B59" s="5">
        <f t="shared" si="0"/>
        <v>150.00000000000003</v>
      </c>
    </row>
    <row r="60" spans="1:2" x14ac:dyDescent="0.35">
      <c r="A60" s="2">
        <v>28</v>
      </c>
      <c r="B60" s="5">
        <f t="shared" si="0"/>
        <v>150.00000000000003</v>
      </c>
    </row>
    <row r="61" spans="1:2" x14ac:dyDescent="0.35">
      <c r="A61" s="2">
        <v>29</v>
      </c>
      <c r="B61" s="5">
        <f t="shared" si="0"/>
        <v>150.00000000000003</v>
      </c>
    </row>
    <row r="62" spans="1:2" x14ac:dyDescent="0.35">
      <c r="A62" s="2">
        <v>30</v>
      </c>
      <c r="B62" s="5">
        <f t="shared" si="0"/>
        <v>150.00000000000003</v>
      </c>
    </row>
    <row r="63" spans="1:2" x14ac:dyDescent="0.35">
      <c r="A63" s="2">
        <v>30.6</v>
      </c>
      <c r="B63" s="5">
        <f t="shared" si="0"/>
        <v>150.00000000000003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Kanoo</dc:creator>
  <cp:lastModifiedBy>Kanoo</cp:lastModifiedBy>
  <dcterms:created xsi:type="dcterms:W3CDTF">2015-06-05T18:19:34Z</dcterms:created>
  <dcterms:modified xsi:type="dcterms:W3CDTF">2022-10-26T08:29:22Z</dcterms:modified>
</cp:coreProperties>
</file>