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035EB596-00DB-4E64-9C90-DFA32CCE8E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D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2" i="1"/>
  <c r="D2" i="1" s="1"/>
  <c r="C5" i="1" l="1"/>
  <c r="B5" i="1" l="1"/>
  <c r="C6" i="1"/>
  <c r="D6" i="1"/>
  <c r="B6" i="1" l="1"/>
  <c r="D7" i="1"/>
  <c r="C7" i="1"/>
  <c r="D8" i="1" l="1"/>
  <c r="C8" i="1"/>
  <c r="B7" i="1"/>
  <c r="C9" i="1" l="1"/>
  <c r="D9" i="1"/>
  <c r="B8" i="1"/>
  <c r="B9" i="1" l="1"/>
  <c r="C10" i="1"/>
  <c r="D10" i="1"/>
  <c r="B10" i="1" l="1"/>
  <c r="C11" i="1"/>
  <c r="D11" i="1"/>
  <c r="B11" i="1" l="1"/>
  <c r="C12" i="1"/>
  <c r="D12" i="1"/>
  <c r="B12" i="1" l="1"/>
  <c r="D13" i="1"/>
  <c r="C13" i="1"/>
  <c r="D14" i="1" l="1"/>
  <c r="C14" i="1"/>
  <c r="B13" i="1"/>
  <c r="D15" i="1" l="1"/>
  <c r="C15" i="1"/>
  <c r="B14" i="1"/>
  <c r="C16" i="1" l="1"/>
  <c r="D16" i="1"/>
  <c r="B15" i="1"/>
  <c r="B16" i="1" l="1"/>
  <c r="C17" i="1"/>
  <c r="D17" i="1"/>
  <c r="B17" i="1" l="1"/>
  <c r="C18" i="1"/>
  <c r="D18" i="1"/>
  <c r="B18" i="1" l="1"/>
  <c r="D19" i="1"/>
  <c r="C19" i="1"/>
  <c r="D20" i="1" l="1"/>
  <c r="C20" i="1"/>
  <c r="B19" i="1"/>
  <c r="C21" i="1" l="1"/>
  <c r="D21" i="1"/>
  <c r="B20" i="1"/>
  <c r="B21" i="1" l="1"/>
  <c r="C22" i="1"/>
  <c r="D22" i="1"/>
  <c r="B22" i="1" l="1"/>
  <c r="C23" i="1"/>
  <c r="D23" i="1"/>
  <c r="B23" i="1" l="1"/>
  <c r="C24" i="1"/>
  <c r="D24" i="1"/>
  <c r="B24" i="1" l="1"/>
  <c r="D25" i="1"/>
  <c r="C25" i="1"/>
  <c r="D26" i="1" l="1"/>
  <c r="C26" i="1"/>
  <c r="B25" i="1"/>
  <c r="C27" i="1" l="1"/>
  <c r="D27" i="1"/>
  <c r="B26" i="1"/>
  <c r="B27" i="1" l="1"/>
  <c r="C28" i="1"/>
  <c r="D28" i="1"/>
  <c r="B28" i="1" l="1"/>
  <c r="C29" i="1"/>
  <c r="D29" i="1"/>
  <c r="B29" i="1" l="1"/>
  <c r="C30" i="1"/>
  <c r="D30" i="1"/>
  <c r="B30" i="1" l="1"/>
  <c r="D31" i="1"/>
  <c r="C31" i="1"/>
  <c r="D32" i="1" l="1"/>
  <c r="C32" i="1"/>
  <c r="B31" i="1"/>
  <c r="C33" i="1" l="1"/>
  <c r="D33" i="1"/>
  <c r="B32" i="1"/>
  <c r="B33" i="1" l="1"/>
  <c r="C34" i="1"/>
  <c r="D34" i="1"/>
  <c r="B34" i="1" l="1"/>
  <c r="C35" i="1"/>
  <c r="D35" i="1"/>
  <c r="B35" i="1" l="1"/>
  <c r="C36" i="1"/>
  <c r="D36" i="1"/>
  <c r="B36" i="1" l="1"/>
  <c r="D37" i="1"/>
  <c r="C37" i="1"/>
  <c r="D38" i="1" l="1"/>
  <c r="C38" i="1"/>
  <c r="B37" i="1"/>
  <c r="C39" i="1" l="1"/>
  <c r="D39" i="1"/>
  <c r="B38" i="1"/>
  <c r="B39" i="1" l="1"/>
  <c r="C40" i="1"/>
  <c r="D40" i="1"/>
  <c r="B40" i="1" l="1"/>
  <c r="C41" i="1"/>
  <c r="D41" i="1"/>
  <c r="B41" i="1" l="1"/>
  <c r="C42" i="1"/>
  <c r="D42" i="1"/>
  <c r="B42" i="1" l="1"/>
  <c r="D43" i="1"/>
  <c r="C43" i="1"/>
  <c r="D44" i="1" l="1"/>
  <c r="C44" i="1"/>
  <c r="B43" i="1"/>
  <c r="D45" i="1" l="1"/>
  <c r="C45" i="1"/>
  <c r="B44" i="1"/>
  <c r="C46" i="1" l="1"/>
  <c r="D46" i="1"/>
  <c r="B45" i="1"/>
  <c r="B46" i="1" l="1"/>
  <c r="C47" i="1"/>
  <c r="D47" i="1"/>
  <c r="B47" i="1" l="1"/>
  <c r="C48" i="1"/>
  <c r="D48" i="1"/>
  <c r="B48" i="1" l="1"/>
  <c r="D49" i="1"/>
  <c r="C49" i="1"/>
  <c r="D50" i="1" l="1"/>
  <c r="C50" i="1"/>
  <c r="B49" i="1"/>
  <c r="C51" i="1" l="1"/>
  <c r="D51" i="1"/>
  <c r="B50" i="1"/>
  <c r="B51" i="1" l="1"/>
  <c r="C52" i="1"/>
  <c r="D52" i="1"/>
  <c r="B52" i="1" l="1"/>
  <c r="D53" i="1"/>
  <c r="C53" i="1"/>
  <c r="C54" i="1" l="1"/>
  <c r="D54" i="1"/>
  <c r="B53" i="1"/>
  <c r="B54" i="1" l="1"/>
  <c r="D55" i="1"/>
  <c r="C55" i="1"/>
  <c r="D56" i="1" l="1"/>
  <c r="C56" i="1"/>
  <c r="B55" i="1"/>
  <c r="C57" i="1" l="1"/>
  <c r="D57" i="1"/>
  <c r="B56" i="1"/>
  <c r="B57" i="1" l="1"/>
  <c r="C58" i="1"/>
  <c r="D58" i="1"/>
  <c r="B58" i="1" l="1"/>
  <c r="C59" i="1"/>
  <c r="D59" i="1"/>
  <c r="B59" i="1" l="1"/>
  <c r="C60" i="1"/>
  <c r="D60" i="1"/>
  <c r="B60" i="1" l="1"/>
  <c r="D61" i="1"/>
  <c r="C61" i="1"/>
  <c r="D62" i="1" l="1"/>
  <c r="C62" i="1"/>
  <c r="B61" i="1"/>
  <c r="C63" i="1" l="1"/>
  <c r="D63" i="1"/>
  <c r="B62" i="1"/>
  <c r="B63" i="1" l="1"/>
  <c r="C64" i="1"/>
  <c r="D64" i="1"/>
  <c r="B64" i="1" l="1"/>
  <c r="C65" i="1"/>
  <c r="D65" i="1"/>
  <c r="B65" i="1" l="1"/>
  <c r="C66" i="1"/>
  <c r="D66" i="1"/>
  <c r="B66" i="1" l="1"/>
  <c r="D67" i="1"/>
  <c r="C67" i="1"/>
  <c r="D68" i="1" l="1"/>
  <c r="C68" i="1"/>
  <c r="B67" i="1"/>
  <c r="C69" i="1" l="1"/>
  <c r="D69" i="1"/>
  <c r="B68" i="1"/>
  <c r="B69" i="1" l="1"/>
  <c r="C70" i="1"/>
  <c r="D70" i="1"/>
  <c r="B70" i="1" l="1"/>
  <c r="C71" i="1"/>
  <c r="D71" i="1"/>
  <c r="B71" i="1" l="1"/>
  <c r="C72" i="1"/>
  <c r="D72" i="1"/>
  <c r="B72" i="1" l="1"/>
  <c r="D73" i="1"/>
  <c r="C73" i="1"/>
  <c r="D74" i="1" l="1"/>
  <c r="C74" i="1"/>
  <c r="B73" i="1"/>
  <c r="C75" i="1" l="1"/>
  <c r="D75" i="1"/>
  <c r="B74" i="1"/>
  <c r="B75" i="1" l="1"/>
  <c r="C76" i="1"/>
  <c r="D76" i="1"/>
  <c r="B76" i="1" l="1"/>
  <c r="C77" i="1"/>
  <c r="D77" i="1"/>
  <c r="B77" i="1" l="1"/>
  <c r="C78" i="1"/>
  <c r="D78" i="1"/>
  <c r="B78" i="1" l="1"/>
  <c r="D79" i="1"/>
  <c r="C79" i="1"/>
  <c r="D80" i="1" l="1"/>
  <c r="C80" i="1"/>
  <c r="B79" i="1"/>
  <c r="D81" i="1" l="1"/>
  <c r="C81" i="1"/>
  <c r="B80" i="1"/>
  <c r="C82" i="1" l="1"/>
  <c r="D82" i="1"/>
  <c r="B81" i="1"/>
  <c r="B82" i="1" l="1"/>
  <c r="C83" i="1"/>
  <c r="D83" i="1"/>
  <c r="B83" i="1" l="1"/>
  <c r="C84" i="1"/>
  <c r="D84" i="1"/>
  <c r="B84" i="1" l="1"/>
  <c r="D85" i="1"/>
  <c r="C85" i="1"/>
  <c r="D86" i="1" l="1"/>
  <c r="C86" i="1"/>
  <c r="B85" i="1"/>
  <c r="D87" i="1" l="1"/>
  <c r="C87" i="1"/>
  <c r="B86" i="1"/>
  <c r="C88" i="1" l="1"/>
  <c r="D88" i="1"/>
  <c r="B87" i="1"/>
  <c r="B88" i="1" l="1"/>
  <c r="D89" i="1"/>
  <c r="C89" i="1"/>
  <c r="C90" i="1" l="1"/>
  <c r="D90" i="1"/>
  <c r="B89" i="1"/>
  <c r="B90" i="1" l="1"/>
  <c r="D91" i="1"/>
  <c r="C91" i="1"/>
  <c r="D92" i="1" l="1"/>
  <c r="C92" i="1"/>
  <c r="B91" i="1"/>
  <c r="C93" i="1" l="1"/>
  <c r="D93" i="1"/>
  <c r="B92" i="1"/>
  <c r="B93" i="1" l="1"/>
  <c r="C94" i="1"/>
  <c r="D94" i="1"/>
  <c r="B94" i="1" l="1"/>
  <c r="C95" i="1"/>
  <c r="D95" i="1"/>
  <c r="B95" i="1" l="1"/>
  <c r="C96" i="1"/>
  <c r="D96" i="1"/>
  <c r="B96" i="1" l="1"/>
  <c r="D97" i="1"/>
  <c r="C97" i="1"/>
  <c r="D98" i="1" l="1"/>
  <c r="C98" i="1"/>
  <c r="B97" i="1"/>
  <c r="D99" i="1" l="1"/>
  <c r="C99" i="1"/>
  <c r="B98" i="1"/>
  <c r="C100" i="1" l="1"/>
  <c r="D100" i="1"/>
  <c r="B99" i="1"/>
  <c r="B100" i="1" l="1"/>
  <c r="C101" i="1"/>
  <c r="D101" i="1"/>
  <c r="B101" i="1" l="1"/>
  <c r="C102" i="1"/>
  <c r="D102" i="1"/>
  <c r="B102" i="1" l="1"/>
  <c r="D103" i="1"/>
  <c r="C103" i="1"/>
  <c r="D104" i="1" l="1"/>
  <c r="C104" i="1"/>
  <c r="B103" i="1"/>
  <c r="D105" i="1" l="1"/>
  <c r="C105" i="1"/>
  <c r="B104" i="1"/>
  <c r="B105" i="1" l="1"/>
</calcChain>
</file>

<file path=xl/sharedStrings.xml><?xml version="1.0" encoding="utf-8"?>
<sst xmlns="http://schemas.openxmlformats.org/spreadsheetml/2006/main" count="9" uniqueCount="9">
  <si>
    <t>I</t>
  </si>
  <si>
    <t>n</t>
  </si>
  <si>
    <t>Pп</t>
  </si>
  <si>
    <t>Р</t>
  </si>
  <si>
    <t>I0</t>
  </si>
  <si>
    <t>E</t>
  </si>
  <si>
    <t>r</t>
  </si>
  <si>
    <t>h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</si>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</sst>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</a:t>
            </a:r>
            <a:r>
              <a:rPr lang="ru-RU" baseline="0"/>
              <a:t> зависимости </a:t>
            </a:r>
            <a:r>
              <a:rPr lang="ru-RU" sz="1800" b="1" i="0" u="none" strike="noStrike" baseline="0"/>
              <a:t>коэффициента полезного действия от силы тока</a:t>
            </a:r>
            <a:endParaRPr lang="ru-RU"/>
          </a:p>
        </c:rich>
      </c:tx>
      <c:layout>
        <c:manualLayout>
          <c:xMode val="edge"/>
          <c:yMode val="edge"/>
          <c:x val="0.14063079615048119"/>
          <c:y val="1.314542203963634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11351706036737"/>
          <c:y val="0.22954850513392674"/>
          <c:w val="0.84325459317585305"/>
          <c:h val="0.65405524635153633"/>
        </c:manualLayout>
      </c:layout>
      <c:scatterChart>
        <c:scatterStyle val="smoothMarker"/>
        <c:varyColors val="0"/>
        <c:ser>
          <c:idx val="1"/>
          <c:order val="1"/>
          <c:marker>
            <c:symbol val="none"/>
          </c:marker>
          <c:xVal>
            <c:numRef>
              <c:f>Лист1!$A$6:$A$105</c:f>
              <c:numCache>
                <c:formatCode>General</c:formatCode>
                <c:ptCount val="100"/>
                <c:pt idx="0">
                  <c:v>0.12</c:v>
                </c:pt>
                <c:pt idx="1">
                  <c:v>0.12121212121212122</c:v>
                </c:pt>
                <c:pt idx="2">
                  <c:v>0.12244897959183673</c:v>
                </c:pt>
                <c:pt idx="3">
                  <c:v>0.12371134020618557</c:v>
                </c:pt>
                <c:pt idx="4">
                  <c:v>0.125</c:v>
                </c:pt>
                <c:pt idx="5">
                  <c:v>0.12631578947368421</c:v>
                </c:pt>
                <c:pt idx="6">
                  <c:v>0.1276595744680851</c:v>
                </c:pt>
                <c:pt idx="7">
                  <c:v>0.12903225806451613</c:v>
                </c:pt>
                <c:pt idx="8">
                  <c:v>0.13043478260869565</c:v>
                </c:pt>
                <c:pt idx="9">
                  <c:v>0.13186813186813187</c:v>
                </c:pt>
                <c:pt idx="10">
                  <c:v>0.13333333333333333</c:v>
                </c:pt>
                <c:pt idx="11">
                  <c:v>0.1348314606741573</c:v>
                </c:pt>
                <c:pt idx="12">
                  <c:v>0.13636363636363635</c:v>
                </c:pt>
                <c:pt idx="13">
                  <c:v>0.13793103448275862</c:v>
                </c:pt>
                <c:pt idx="14">
                  <c:v>0.13953488372093023</c:v>
                </c:pt>
                <c:pt idx="15">
                  <c:v>0.14117647058823529</c:v>
                </c:pt>
                <c:pt idx="16">
                  <c:v>0.14285714285714285</c:v>
                </c:pt>
                <c:pt idx="17">
                  <c:v>0.14457831325301204</c:v>
                </c:pt>
                <c:pt idx="18">
                  <c:v>0.14634146341463414</c:v>
                </c:pt>
                <c:pt idx="19">
                  <c:v>0.14814814814814814</c:v>
                </c:pt>
                <c:pt idx="20">
                  <c:v>0.15</c:v>
                </c:pt>
                <c:pt idx="21">
                  <c:v>0.15189873417721519</c:v>
                </c:pt>
                <c:pt idx="22">
                  <c:v>0.15384615384615385</c:v>
                </c:pt>
                <c:pt idx="23">
                  <c:v>0.15584415584415584</c:v>
                </c:pt>
                <c:pt idx="24">
                  <c:v>0.15789473684210525</c:v>
                </c:pt>
                <c:pt idx="25">
                  <c:v>0.16</c:v>
                </c:pt>
                <c:pt idx="26">
                  <c:v>0.16216216216216217</c:v>
                </c:pt>
                <c:pt idx="27">
                  <c:v>0.16438356164383561</c:v>
                </c:pt>
                <c:pt idx="28">
                  <c:v>0.16666666666666666</c:v>
                </c:pt>
                <c:pt idx="29">
                  <c:v>0.16901408450704225</c:v>
                </c:pt>
                <c:pt idx="30">
                  <c:v>0.17142857142857143</c:v>
                </c:pt>
                <c:pt idx="31">
                  <c:v>0.17391304347826086</c:v>
                </c:pt>
                <c:pt idx="32">
                  <c:v>0.17647058823529413</c:v>
                </c:pt>
                <c:pt idx="33">
                  <c:v>0.17910447761194029</c:v>
                </c:pt>
                <c:pt idx="34">
                  <c:v>0.18181818181818182</c:v>
                </c:pt>
                <c:pt idx="35">
                  <c:v>0.18461538461538463</c:v>
                </c:pt>
                <c:pt idx="36">
                  <c:v>0.1875</c:v>
                </c:pt>
                <c:pt idx="37">
                  <c:v>0.19047619047619047</c:v>
                </c:pt>
                <c:pt idx="38">
                  <c:v>0.19354838709677419</c:v>
                </c:pt>
                <c:pt idx="39">
                  <c:v>0.19672131147540983</c:v>
                </c:pt>
                <c:pt idx="40">
                  <c:v>0.2</c:v>
                </c:pt>
                <c:pt idx="41">
                  <c:v>0.20338983050847459</c:v>
                </c:pt>
                <c:pt idx="42">
                  <c:v>0.20689655172413793</c:v>
                </c:pt>
                <c:pt idx="43">
                  <c:v>0.21052631578947367</c:v>
                </c:pt>
                <c:pt idx="44">
                  <c:v>0.21428571428571427</c:v>
                </c:pt>
                <c:pt idx="45">
                  <c:v>0.21818181818181817</c:v>
                </c:pt>
                <c:pt idx="46">
                  <c:v>0.22222222222222221</c:v>
                </c:pt>
                <c:pt idx="47">
                  <c:v>0.22641509433962265</c:v>
                </c:pt>
                <c:pt idx="48">
                  <c:v>0.23076923076923078</c:v>
                </c:pt>
                <c:pt idx="49">
                  <c:v>0.23529411764705882</c:v>
                </c:pt>
                <c:pt idx="50">
                  <c:v>0.24</c:v>
                </c:pt>
                <c:pt idx="51">
                  <c:v>0.24489795918367346</c:v>
                </c:pt>
                <c:pt idx="52">
                  <c:v>0.25</c:v>
                </c:pt>
                <c:pt idx="53">
                  <c:v>0.25531914893617019</c:v>
                </c:pt>
                <c:pt idx="54">
                  <c:v>0.2608695652173913</c:v>
                </c:pt>
                <c:pt idx="55">
                  <c:v>0.26666666666666666</c:v>
                </c:pt>
                <c:pt idx="56">
                  <c:v>0.27272727272727271</c:v>
                </c:pt>
                <c:pt idx="57">
                  <c:v>0.27906976744186046</c:v>
                </c:pt>
                <c:pt idx="58">
                  <c:v>0.2857142857142857</c:v>
                </c:pt>
                <c:pt idx="59">
                  <c:v>0.29268292682926828</c:v>
                </c:pt>
                <c:pt idx="60">
                  <c:v>0.3</c:v>
                </c:pt>
                <c:pt idx="61">
                  <c:v>0.30769230769230771</c:v>
                </c:pt>
                <c:pt idx="62">
                  <c:v>0.31578947368421051</c:v>
                </c:pt>
                <c:pt idx="63">
                  <c:v>0.32432432432432434</c:v>
                </c:pt>
                <c:pt idx="64">
                  <c:v>0.33333333333333331</c:v>
                </c:pt>
                <c:pt idx="65">
                  <c:v>0.34285714285714286</c:v>
                </c:pt>
                <c:pt idx="66">
                  <c:v>0.35294117647058826</c:v>
                </c:pt>
                <c:pt idx="67">
                  <c:v>0.36363636363636365</c:v>
                </c:pt>
                <c:pt idx="68">
                  <c:v>0.375</c:v>
                </c:pt>
                <c:pt idx="69">
                  <c:v>0.38709677419354838</c:v>
                </c:pt>
                <c:pt idx="70">
                  <c:v>0.4</c:v>
                </c:pt>
                <c:pt idx="71">
                  <c:v>0.41379310344827586</c:v>
                </c:pt>
                <c:pt idx="72">
                  <c:v>0.42857142857142855</c:v>
                </c:pt>
                <c:pt idx="73">
                  <c:v>0.44444444444444442</c:v>
                </c:pt>
                <c:pt idx="74">
                  <c:v>0.46153846153846156</c:v>
                </c:pt>
                <c:pt idx="75">
                  <c:v>0.48</c:v>
                </c:pt>
                <c:pt idx="76">
                  <c:v>0.5</c:v>
                </c:pt>
                <c:pt idx="77">
                  <c:v>0.52173913043478259</c:v>
                </c:pt>
                <c:pt idx="78">
                  <c:v>0.54545454545454541</c:v>
                </c:pt>
                <c:pt idx="79">
                  <c:v>0.5714285714285714</c:v>
                </c:pt>
                <c:pt idx="80">
                  <c:v>0.6</c:v>
                </c:pt>
                <c:pt idx="81">
                  <c:v>0.63157894736842102</c:v>
                </c:pt>
                <c:pt idx="82">
                  <c:v>0.66666666666666663</c:v>
                </c:pt>
                <c:pt idx="83">
                  <c:v>0.70588235294117652</c:v>
                </c:pt>
                <c:pt idx="84">
                  <c:v>0.75</c:v>
                </c:pt>
                <c:pt idx="85">
                  <c:v>0.8</c:v>
                </c:pt>
                <c:pt idx="86">
                  <c:v>0.8571428571428571</c:v>
                </c:pt>
                <c:pt idx="87">
                  <c:v>0.92307692307692313</c:v>
                </c:pt>
                <c:pt idx="88">
                  <c:v>1</c:v>
                </c:pt>
                <c:pt idx="89">
                  <c:v>1.0909090909090908</c:v>
                </c:pt>
                <c:pt idx="90">
                  <c:v>1.2</c:v>
                </c:pt>
                <c:pt idx="91">
                  <c:v>1.3333333333333333</c:v>
                </c:pt>
                <c:pt idx="92">
                  <c:v>1.5</c:v>
                </c:pt>
                <c:pt idx="93">
                  <c:v>1.7142857142857142</c:v>
                </c:pt>
                <c:pt idx="94">
                  <c:v>2</c:v>
                </c:pt>
                <c:pt idx="95">
                  <c:v>2.4</c:v>
                </c:pt>
                <c:pt idx="96">
                  <c:v>3</c:v>
                </c:pt>
                <c:pt idx="97">
                  <c:v>4</c:v>
                </c:pt>
                <c:pt idx="98">
                  <c:v>6</c:v>
                </c:pt>
                <c:pt idx="99">
                  <c:v>12</c:v>
                </c:pt>
              </c:numCache>
            </c:numRef>
          </c:xVal>
          <c:yVal>
            <c:numRef>
              <c:f>Лист1!$B$6:$B$105</c:f>
              <c:numCache>
                <c:formatCode>General</c:formatCode>
                <c:ptCount val="100"/>
                <c:pt idx="0">
                  <c:v>0.99</c:v>
                </c:pt>
                <c:pt idx="1">
                  <c:v>0.98989898989899006</c:v>
                </c:pt>
                <c:pt idx="2">
                  <c:v>0.98979591836734693</c:v>
                </c:pt>
                <c:pt idx="3">
                  <c:v>0.98969072164948457</c:v>
                </c:pt>
                <c:pt idx="4">
                  <c:v>0.98958333333333337</c:v>
                </c:pt>
                <c:pt idx="5">
                  <c:v>0.98947368421052639</c:v>
                </c:pt>
                <c:pt idx="6">
                  <c:v>0.98936170212765961</c:v>
                </c:pt>
                <c:pt idx="7">
                  <c:v>0.989247311827957</c:v>
                </c:pt>
                <c:pt idx="8">
                  <c:v>0.98913043478260854</c:v>
                </c:pt>
                <c:pt idx="9">
                  <c:v>0.98901098901098905</c:v>
                </c:pt>
                <c:pt idx="10">
                  <c:v>0.98888888888888893</c:v>
                </c:pt>
                <c:pt idx="11">
                  <c:v>0.98876404494382031</c:v>
                </c:pt>
                <c:pt idx="12">
                  <c:v>0.98863636363636376</c:v>
                </c:pt>
                <c:pt idx="13">
                  <c:v>0.9885057471264368</c:v>
                </c:pt>
                <c:pt idx="14">
                  <c:v>0.98837209302325579</c:v>
                </c:pt>
                <c:pt idx="15">
                  <c:v>0.9882352941176471</c:v>
                </c:pt>
                <c:pt idx="16">
                  <c:v>0.98809523809523803</c:v>
                </c:pt>
                <c:pt idx="17">
                  <c:v>0.98795180722891562</c:v>
                </c:pt>
                <c:pt idx="18">
                  <c:v>0.98780487804878048</c:v>
                </c:pt>
                <c:pt idx="19">
                  <c:v>0.98765432098765416</c:v>
                </c:pt>
                <c:pt idx="20">
                  <c:v>0.98750000000000004</c:v>
                </c:pt>
                <c:pt idx="21">
                  <c:v>0.98734177215189878</c:v>
                </c:pt>
                <c:pt idx="22">
                  <c:v>0.98717948717948723</c:v>
                </c:pt>
                <c:pt idx="23">
                  <c:v>0.98701298701298701</c:v>
                </c:pt>
                <c:pt idx="24">
                  <c:v>0.98684210526315785</c:v>
                </c:pt>
                <c:pt idx="25">
                  <c:v>0.98666666666666669</c:v>
                </c:pt>
                <c:pt idx="26">
                  <c:v>0.98648648648648651</c:v>
                </c:pt>
                <c:pt idx="27">
                  <c:v>0.98630136986301364</c:v>
                </c:pt>
                <c:pt idx="28">
                  <c:v>0.98611111111111116</c:v>
                </c:pt>
                <c:pt idx="29">
                  <c:v>0.9859154929577465</c:v>
                </c:pt>
                <c:pt idx="30">
                  <c:v>0.98571428571428577</c:v>
                </c:pt>
                <c:pt idx="31">
                  <c:v>0.98550724637681164</c:v>
                </c:pt>
                <c:pt idx="32">
                  <c:v>0.98529411764705888</c:v>
                </c:pt>
                <c:pt idx="33">
                  <c:v>0.9850746268656716</c:v>
                </c:pt>
                <c:pt idx="34">
                  <c:v>0.98484848484848486</c:v>
                </c:pt>
                <c:pt idx="35">
                  <c:v>0.98461538461538467</c:v>
                </c:pt>
                <c:pt idx="36">
                  <c:v>0.984375</c:v>
                </c:pt>
                <c:pt idx="37">
                  <c:v>0.98412698412698418</c:v>
                </c:pt>
                <c:pt idx="38">
                  <c:v>0.9838709677419355</c:v>
                </c:pt>
                <c:pt idx="39">
                  <c:v>0.98360655737704905</c:v>
                </c:pt>
                <c:pt idx="40">
                  <c:v>0.98333333333333328</c:v>
                </c:pt>
                <c:pt idx="41">
                  <c:v>0.98305084745762716</c:v>
                </c:pt>
                <c:pt idx="42">
                  <c:v>0.98275862068965514</c:v>
                </c:pt>
                <c:pt idx="43">
                  <c:v>0.98245614035087714</c:v>
                </c:pt>
                <c:pt idx="44">
                  <c:v>0.9821428571428571</c:v>
                </c:pt>
                <c:pt idx="45">
                  <c:v>0.98181818181818181</c:v>
                </c:pt>
                <c:pt idx="46">
                  <c:v>0.98148148148148151</c:v>
                </c:pt>
                <c:pt idx="47">
                  <c:v>0.98113207547169812</c:v>
                </c:pt>
                <c:pt idx="48">
                  <c:v>0.98076923076923073</c:v>
                </c:pt>
                <c:pt idx="49">
                  <c:v>0.98039215686274506</c:v>
                </c:pt>
                <c:pt idx="50">
                  <c:v>0.98000000000000009</c:v>
                </c:pt>
                <c:pt idx="51">
                  <c:v>0.97959183673469374</c:v>
                </c:pt>
                <c:pt idx="52">
                  <c:v>0.97916666666666663</c:v>
                </c:pt>
                <c:pt idx="53">
                  <c:v>0.97872340425531912</c:v>
                </c:pt>
                <c:pt idx="54">
                  <c:v>0.97826086956521752</c:v>
                </c:pt>
                <c:pt idx="55">
                  <c:v>0.97777777777777775</c:v>
                </c:pt>
                <c:pt idx="56">
                  <c:v>0.97727272727272729</c:v>
                </c:pt>
                <c:pt idx="57">
                  <c:v>0.97674418604651159</c:v>
                </c:pt>
                <c:pt idx="58">
                  <c:v>0.97619047619047616</c:v>
                </c:pt>
                <c:pt idx="59">
                  <c:v>0.97560975609756095</c:v>
                </c:pt>
                <c:pt idx="60">
                  <c:v>0.97500000000000009</c:v>
                </c:pt>
                <c:pt idx="61">
                  <c:v>0.97435897435897434</c:v>
                </c:pt>
                <c:pt idx="62">
                  <c:v>0.97368421052631582</c:v>
                </c:pt>
                <c:pt idx="63">
                  <c:v>0.97297297297297303</c:v>
                </c:pt>
                <c:pt idx="64">
                  <c:v>0.97222222222222221</c:v>
                </c:pt>
                <c:pt idx="65">
                  <c:v>0.97142857142857142</c:v>
                </c:pt>
                <c:pt idx="66">
                  <c:v>0.97058823529411764</c:v>
                </c:pt>
                <c:pt idx="67">
                  <c:v>0.96969696969696983</c:v>
                </c:pt>
                <c:pt idx="68">
                  <c:v>0.96875</c:v>
                </c:pt>
                <c:pt idx="69">
                  <c:v>0.96774193548387111</c:v>
                </c:pt>
                <c:pt idx="70">
                  <c:v>0.96666666666666667</c:v>
                </c:pt>
                <c:pt idx="71">
                  <c:v>0.96551724137931039</c:v>
                </c:pt>
                <c:pt idx="72">
                  <c:v>0.9642857142857143</c:v>
                </c:pt>
                <c:pt idx="73">
                  <c:v>0.96296296296296291</c:v>
                </c:pt>
                <c:pt idx="74">
                  <c:v>0.96153846153846145</c:v>
                </c:pt>
                <c:pt idx="75">
                  <c:v>0.96</c:v>
                </c:pt>
                <c:pt idx="76">
                  <c:v>0.95833333333333337</c:v>
                </c:pt>
                <c:pt idx="77">
                  <c:v>0.95652173913043481</c:v>
                </c:pt>
                <c:pt idx="78">
                  <c:v>0.95454545454545459</c:v>
                </c:pt>
                <c:pt idx="79">
                  <c:v>0.95238095238095233</c:v>
                </c:pt>
                <c:pt idx="80">
                  <c:v>0.95</c:v>
                </c:pt>
                <c:pt idx="81">
                  <c:v>0.94736842105263164</c:v>
                </c:pt>
                <c:pt idx="82">
                  <c:v>0.94444444444444442</c:v>
                </c:pt>
                <c:pt idx="83">
                  <c:v>0.94117647058823528</c:v>
                </c:pt>
                <c:pt idx="84">
                  <c:v>0.9375</c:v>
                </c:pt>
                <c:pt idx="85">
                  <c:v>0.93333333333333324</c:v>
                </c:pt>
                <c:pt idx="86">
                  <c:v>0.9285714285714286</c:v>
                </c:pt>
                <c:pt idx="87">
                  <c:v>0.92307692307692313</c:v>
                </c:pt>
                <c:pt idx="88">
                  <c:v>0.91666666666666663</c:v>
                </c:pt>
                <c:pt idx="89">
                  <c:v>0.90909090909090906</c:v>
                </c:pt>
                <c:pt idx="90">
                  <c:v>0.9</c:v>
                </c:pt>
                <c:pt idx="91">
                  <c:v>0.88888888888888884</c:v>
                </c:pt>
                <c:pt idx="92">
                  <c:v>0.875</c:v>
                </c:pt>
                <c:pt idx="93">
                  <c:v>0.8571428571428571</c:v>
                </c:pt>
                <c:pt idx="94">
                  <c:v>0.83333333333333337</c:v>
                </c:pt>
                <c:pt idx="95">
                  <c:v>0.8</c:v>
                </c:pt>
                <c:pt idx="96">
                  <c:v>0.75</c:v>
                </c:pt>
                <c:pt idx="97">
                  <c:v>0.66666666666666663</c:v>
                </c:pt>
                <c:pt idx="98">
                  <c:v>0.5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6A-4CFA-BEFE-0441746F304B}"/>
            </c:ext>
          </c:extLst>
        </c:ser>
        <c:ser>
          <c:idx val="0"/>
          <c:order val="0"/>
          <c:marker>
            <c:symbol val="none"/>
          </c:marker>
          <c:xVal>
            <c:numRef>
              <c:f>[1]Лист1!$A$2:$A$200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xVal>
          <c:yVal>
            <c:numRef>
              <c:f>[1]Лист1!$B$2:$B$200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6A-4CFA-BEFE-0441746F3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818816"/>
        <c:axId val="216835968"/>
      </c:scatterChart>
      <c:valAx>
        <c:axId val="21681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I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94921981627296592"/>
              <c:y val="0.8005092592592593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ysClr val="windowText" lastClr="000000"/>
            </a:solidFill>
            <a:tailEnd type="triangle"/>
          </a:ln>
        </c:spPr>
        <c:crossAx val="216835968"/>
        <c:crosses val="autoZero"/>
        <c:crossBetween val="midCat"/>
      </c:valAx>
      <c:valAx>
        <c:axId val="2168359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sz="1400"/>
                  <a:t>n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11944453158494632"/>
              <c:y val="0.207421922422563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ysClr val="windowText" lastClr="000000"/>
            </a:solidFill>
            <a:tailEnd type="triangle"/>
          </a:ln>
        </c:spPr>
        <c:crossAx val="2168188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520064</xdr:colOff>
      <xdr:row>5</xdr:row>
      <xdr:rowOff>5714</xdr:rowOff>
    </xdr:from>
    <xdr:to>
      <xdr:col>13</xdr:col>
      <xdr:colOff>358139</xdr:colOff>
      <xdr:row>20</xdr:row>
      <xdr:rowOff>60959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R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5"/>
  <sheetViews>
    <sheetView tabSelected="1" topLeftCell="A49" workbookViewId="0">
      <selection activeCell="J106" sqref="J106"/>
    </sheetView>
  </sheetViews>
  <sheetFormatPr defaultRowHeight="14.4" x14ac:dyDescent="0.3"/>
  <sheetData>
    <row r="1" spans="1:15" x14ac:dyDescent="0.3">
      <c r="A1" t="s">
        <v>4</v>
      </c>
      <c r="B1" t="s">
        <v>5</v>
      </c>
      <c r="C1" t="s">
        <v>6</v>
      </c>
      <c r="D1" t="s">
        <v>7</v>
      </c>
    </row>
    <row r="2" spans="1:15" x14ac:dyDescent="0.3">
      <c r="A2">
        <f>B2/C2</f>
        <v>12</v>
      </c>
      <c r="B2">
        <v>12</v>
      </c>
      <c r="C2">
        <v>1</v>
      </c>
      <c r="D2">
        <f>A2/100</f>
        <v>0.12</v>
      </c>
    </row>
    <row r="4" spans="1:15" x14ac:dyDescent="0.3">
      <c r="A4" t="s">
        <v>0</v>
      </c>
      <c r="B4" t="s">
        <v>1</v>
      </c>
      <c r="C4" t="s">
        <v>2</v>
      </c>
      <c r="D4" t="s">
        <v>3</v>
      </c>
      <c r="E4" t="s">
        <v>8</v>
      </c>
    </row>
    <row r="5" spans="1:15" x14ac:dyDescent="0.3">
      <c r="A5">
        <f t="shared" ref="A5:A36" si="0">$B$2/(C$2+E5)</f>
        <v>0.11881188118811881</v>
      </c>
      <c r="B5">
        <f>C5/D5</f>
        <v>0.99009900990099009</v>
      </c>
      <c r="C5">
        <f t="shared" ref="C5:C36" si="1">B$2*A5*(1-A5/A$2)</f>
        <v>1.4116263111459659</v>
      </c>
      <c r="D5">
        <f t="shared" ref="D5:D36" si="2">$B$2*A5</f>
        <v>1.4257425742574257</v>
      </c>
      <c r="E5">
        <v>100</v>
      </c>
    </row>
    <row r="6" spans="1:15" x14ac:dyDescent="0.3">
      <c r="A6">
        <f t="shared" si="0"/>
        <v>0.12</v>
      </c>
      <c r="B6">
        <f>C6/D6</f>
        <v>0.99</v>
      </c>
      <c r="C6">
        <f t="shared" si="1"/>
        <v>1.4256</v>
      </c>
      <c r="D6">
        <f t="shared" si="2"/>
        <v>1.44</v>
      </c>
      <c r="E6">
        <v>99</v>
      </c>
    </row>
    <row r="7" spans="1:15" x14ac:dyDescent="0.3">
      <c r="A7">
        <f t="shared" si="0"/>
        <v>0.12121212121212122</v>
      </c>
      <c r="B7">
        <f t="shared" ref="B7:B69" si="3">C7/D7</f>
        <v>0.98989898989899006</v>
      </c>
      <c r="C7">
        <f t="shared" si="1"/>
        <v>1.4398530762167128</v>
      </c>
      <c r="D7">
        <f t="shared" si="2"/>
        <v>1.4545454545454546</v>
      </c>
      <c r="E7">
        <v>98</v>
      </c>
    </row>
    <row r="8" spans="1:15" x14ac:dyDescent="0.3">
      <c r="A8">
        <f t="shared" si="0"/>
        <v>0.12244897959183673</v>
      </c>
      <c r="B8">
        <f t="shared" si="3"/>
        <v>0.98979591836734693</v>
      </c>
      <c r="C8">
        <f t="shared" si="1"/>
        <v>1.4543940024989586</v>
      </c>
      <c r="D8">
        <f t="shared" si="2"/>
        <v>1.4693877551020407</v>
      </c>
      <c r="E8">
        <v>97</v>
      </c>
    </row>
    <row r="9" spans="1:15" x14ac:dyDescent="0.3">
      <c r="A9">
        <f t="shared" si="0"/>
        <v>0.12371134020618557</v>
      </c>
      <c r="B9">
        <f t="shared" si="3"/>
        <v>0.98969072164948457</v>
      </c>
      <c r="C9">
        <f t="shared" si="1"/>
        <v>1.4692315867786163</v>
      </c>
      <c r="D9">
        <f t="shared" si="2"/>
        <v>1.4845360824742269</v>
      </c>
      <c r="E9">
        <v>96</v>
      </c>
      <c r="O9" s="1"/>
    </row>
    <row r="10" spans="1:15" x14ac:dyDescent="0.3">
      <c r="A10">
        <f t="shared" si="0"/>
        <v>0.125</v>
      </c>
      <c r="B10">
        <f t="shared" si="3"/>
        <v>0.98958333333333337</v>
      </c>
      <c r="C10">
        <f t="shared" si="1"/>
        <v>1.484375</v>
      </c>
      <c r="D10">
        <f t="shared" si="2"/>
        <v>1.5</v>
      </c>
      <c r="E10">
        <v>95</v>
      </c>
    </row>
    <row r="11" spans="1:15" x14ac:dyDescent="0.3">
      <c r="A11">
        <f t="shared" si="0"/>
        <v>0.12631578947368421</v>
      </c>
      <c r="B11">
        <f t="shared" si="3"/>
        <v>0.98947368421052639</v>
      </c>
      <c r="C11">
        <f t="shared" si="1"/>
        <v>1.4998337950138505</v>
      </c>
      <c r="D11">
        <f t="shared" si="2"/>
        <v>1.5157894736842106</v>
      </c>
      <c r="E11">
        <v>94</v>
      </c>
    </row>
    <row r="12" spans="1:15" x14ac:dyDescent="0.3">
      <c r="A12">
        <f t="shared" si="0"/>
        <v>0.1276595744680851</v>
      </c>
      <c r="B12">
        <f t="shared" si="3"/>
        <v>0.98936170212765961</v>
      </c>
      <c r="C12">
        <f t="shared" si="1"/>
        <v>1.5156179266636487</v>
      </c>
      <c r="D12">
        <f t="shared" si="2"/>
        <v>1.5319148936170213</v>
      </c>
      <c r="E12">
        <v>93</v>
      </c>
    </row>
    <row r="13" spans="1:15" x14ac:dyDescent="0.3">
      <c r="A13">
        <f t="shared" si="0"/>
        <v>0.12903225806451613</v>
      </c>
      <c r="B13">
        <f t="shared" si="3"/>
        <v>0.989247311827957</v>
      </c>
      <c r="C13">
        <f t="shared" si="1"/>
        <v>1.5317377731529656</v>
      </c>
      <c r="D13">
        <f t="shared" si="2"/>
        <v>1.5483870967741935</v>
      </c>
      <c r="E13">
        <v>92</v>
      </c>
    </row>
    <row r="14" spans="1:15" x14ac:dyDescent="0.3">
      <c r="A14">
        <f t="shared" si="0"/>
        <v>0.13043478260869565</v>
      </c>
      <c r="B14">
        <f t="shared" si="3"/>
        <v>0.98913043478260854</v>
      </c>
      <c r="C14">
        <f t="shared" si="1"/>
        <v>1.5482041587901698</v>
      </c>
      <c r="D14">
        <f t="shared" si="2"/>
        <v>1.5652173913043477</v>
      </c>
      <c r="E14">
        <v>91</v>
      </c>
    </row>
    <row r="15" spans="1:15" x14ac:dyDescent="0.3">
      <c r="A15">
        <f t="shared" si="0"/>
        <v>0.13186813186813187</v>
      </c>
      <c r="B15">
        <f t="shared" si="3"/>
        <v>0.98901098901098905</v>
      </c>
      <c r="C15">
        <f t="shared" si="1"/>
        <v>1.5650283782151917</v>
      </c>
      <c r="D15">
        <f t="shared" si="2"/>
        <v>1.5824175824175826</v>
      </c>
      <c r="E15">
        <v>90</v>
      </c>
    </row>
    <row r="16" spans="1:15" x14ac:dyDescent="0.3">
      <c r="A16">
        <f t="shared" si="0"/>
        <v>0.13333333333333333</v>
      </c>
      <c r="B16">
        <f t="shared" si="3"/>
        <v>0.98888888888888893</v>
      </c>
      <c r="C16">
        <f t="shared" si="1"/>
        <v>1.5822222222222224</v>
      </c>
      <c r="D16">
        <f t="shared" si="2"/>
        <v>1.6</v>
      </c>
      <c r="E16">
        <v>89</v>
      </c>
    </row>
    <row r="17" spans="1:5" x14ac:dyDescent="0.3">
      <c r="A17">
        <f t="shared" si="0"/>
        <v>0.1348314606741573</v>
      </c>
      <c r="B17">
        <f t="shared" si="3"/>
        <v>0.98876404494382031</v>
      </c>
      <c r="C17">
        <f t="shared" si="1"/>
        <v>1.5997980053023608</v>
      </c>
      <c r="D17">
        <f t="shared" si="2"/>
        <v>1.6179775280898876</v>
      </c>
      <c r="E17">
        <v>88</v>
      </c>
    </row>
    <row r="18" spans="1:5" x14ac:dyDescent="0.3">
      <c r="A18">
        <f t="shared" si="0"/>
        <v>0.13636363636363635</v>
      </c>
      <c r="B18">
        <f t="shared" si="3"/>
        <v>0.98863636363636376</v>
      </c>
      <c r="C18">
        <f t="shared" si="1"/>
        <v>1.6177685950413223</v>
      </c>
      <c r="D18">
        <f t="shared" si="2"/>
        <v>1.6363636363636362</v>
      </c>
      <c r="E18">
        <v>87</v>
      </c>
    </row>
    <row r="19" spans="1:5" x14ac:dyDescent="0.3">
      <c r="A19">
        <f t="shared" si="0"/>
        <v>0.13793103448275862</v>
      </c>
      <c r="B19">
        <f t="shared" si="3"/>
        <v>0.9885057471264368</v>
      </c>
      <c r="C19">
        <f t="shared" si="1"/>
        <v>1.6361474435196195</v>
      </c>
      <c r="D19">
        <f t="shared" si="2"/>
        <v>1.6551724137931034</v>
      </c>
      <c r="E19">
        <v>86</v>
      </c>
    </row>
    <row r="20" spans="1:5" x14ac:dyDescent="0.3">
      <c r="A20">
        <f t="shared" si="0"/>
        <v>0.13953488372093023</v>
      </c>
      <c r="B20">
        <f t="shared" si="3"/>
        <v>0.98837209302325579</v>
      </c>
      <c r="C20">
        <f t="shared" si="1"/>
        <v>1.654948620876149</v>
      </c>
      <c r="D20">
        <f t="shared" si="2"/>
        <v>1.6744186046511627</v>
      </c>
      <c r="E20">
        <v>85</v>
      </c>
    </row>
    <row r="21" spans="1:5" x14ac:dyDescent="0.3">
      <c r="A21">
        <f t="shared" si="0"/>
        <v>0.14117647058823529</v>
      </c>
      <c r="B21">
        <f t="shared" si="3"/>
        <v>0.9882352941176471</v>
      </c>
      <c r="C21">
        <f t="shared" si="1"/>
        <v>1.6741868512110727</v>
      </c>
      <c r="D21">
        <f t="shared" si="2"/>
        <v>1.6941176470588235</v>
      </c>
      <c r="E21">
        <v>84</v>
      </c>
    </row>
    <row r="22" spans="1:5" x14ac:dyDescent="0.3">
      <c r="A22">
        <f t="shared" si="0"/>
        <v>0.14285714285714285</v>
      </c>
      <c r="B22">
        <f t="shared" si="3"/>
        <v>0.98809523809523803</v>
      </c>
      <c r="C22">
        <f t="shared" si="1"/>
        <v>1.693877551020408</v>
      </c>
      <c r="D22">
        <f t="shared" si="2"/>
        <v>1.7142857142857142</v>
      </c>
      <c r="E22">
        <v>83</v>
      </c>
    </row>
    <row r="23" spans="1:5" x14ac:dyDescent="0.3">
      <c r="A23">
        <f t="shared" si="0"/>
        <v>0.14457831325301204</v>
      </c>
      <c r="B23">
        <f t="shared" si="3"/>
        <v>0.98795180722891562</v>
      </c>
      <c r="C23">
        <f t="shared" si="1"/>
        <v>1.7140368703730582</v>
      </c>
      <c r="D23">
        <f t="shared" si="2"/>
        <v>1.7349397590361444</v>
      </c>
      <c r="E23">
        <v>82</v>
      </c>
    </row>
    <row r="24" spans="1:5" x14ac:dyDescent="0.3">
      <c r="A24">
        <f t="shared" si="0"/>
        <v>0.14634146341463414</v>
      </c>
      <c r="B24">
        <f t="shared" si="3"/>
        <v>0.98780487804878048</v>
      </c>
      <c r="C24">
        <f t="shared" si="1"/>
        <v>1.7346817370612728</v>
      </c>
      <c r="D24">
        <f t="shared" si="2"/>
        <v>1.7560975609756095</v>
      </c>
      <c r="E24">
        <v>81</v>
      </c>
    </row>
    <row r="25" spans="1:5" x14ac:dyDescent="0.3">
      <c r="A25">
        <f t="shared" si="0"/>
        <v>0.14814814814814814</v>
      </c>
      <c r="B25">
        <f t="shared" si="3"/>
        <v>0.98765432098765416</v>
      </c>
      <c r="C25">
        <f t="shared" si="1"/>
        <v>1.7558299039780518</v>
      </c>
      <c r="D25">
        <f t="shared" si="2"/>
        <v>1.7777777777777777</v>
      </c>
      <c r="E25">
        <v>80</v>
      </c>
    </row>
    <row r="26" spans="1:5" x14ac:dyDescent="0.3">
      <c r="A26">
        <f t="shared" si="0"/>
        <v>0.15</v>
      </c>
      <c r="B26">
        <f t="shared" si="3"/>
        <v>0.98750000000000004</v>
      </c>
      <c r="C26">
        <f t="shared" si="1"/>
        <v>1.7774999999999999</v>
      </c>
      <c r="D26">
        <f t="shared" si="2"/>
        <v>1.7999999999999998</v>
      </c>
      <c r="E26">
        <v>79</v>
      </c>
    </row>
    <row r="27" spans="1:5" x14ac:dyDescent="0.3">
      <c r="A27">
        <f t="shared" si="0"/>
        <v>0.15189873417721519</v>
      </c>
      <c r="B27">
        <f t="shared" si="3"/>
        <v>0.98734177215189878</v>
      </c>
      <c r="C27">
        <f t="shared" si="1"/>
        <v>1.799711584681942</v>
      </c>
      <c r="D27">
        <f t="shared" si="2"/>
        <v>1.8227848101265822</v>
      </c>
      <c r="E27">
        <v>78</v>
      </c>
    </row>
    <row r="28" spans="1:5" x14ac:dyDescent="0.3">
      <c r="A28">
        <f t="shared" si="0"/>
        <v>0.15384615384615385</v>
      </c>
      <c r="B28">
        <f t="shared" si="3"/>
        <v>0.98717948717948723</v>
      </c>
      <c r="C28">
        <f t="shared" si="1"/>
        <v>1.8224852071005919</v>
      </c>
      <c r="D28">
        <f t="shared" si="2"/>
        <v>1.8461538461538463</v>
      </c>
      <c r="E28">
        <v>77</v>
      </c>
    </row>
    <row r="29" spans="1:5" x14ac:dyDescent="0.3">
      <c r="A29">
        <f t="shared" si="0"/>
        <v>0.15584415584415584</v>
      </c>
      <c r="B29">
        <f t="shared" si="3"/>
        <v>0.98701298701298701</v>
      </c>
      <c r="C29">
        <f t="shared" si="1"/>
        <v>1.8458424692190925</v>
      </c>
      <c r="D29">
        <f t="shared" si="2"/>
        <v>1.8701298701298701</v>
      </c>
      <c r="E29">
        <v>76</v>
      </c>
    </row>
    <row r="30" spans="1:5" x14ac:dyDescent="0.3">
      <c r="A30">
        <f t="shared" si="0"/>
        <v>0.15789473684210525</v>
      </c>
      <c r="B30">
        <f t="shared" si="3"/>
        <v>0.98684210526315785</v>
      </c>
      <c r="C30">
        <f t="shared" si="1"/>
        <v>1.8698060941828254</v>
      </c>
      <c r="D30">
        <f t="shared" si="2"/>
        <v>1.8947368421052631</v>
      </c>
      <c r="E30">
        <v>75</v>
      </c>
    </row>
    <row r="31" spans="1:5" x14ac:dyDescent="0.3">
      <c r="A31">
        <f t="shared" si="0"/>
        <v>0.16</v>
      </c>
      <c r="B31">
        <f t="shared" si="3"/>
        <v>0.98666666666666669</v>
      </c>
      <c r="C31">
        <f t="shared" si="1"/>
        <v>1.8944000000000001</v>
      </c>
      <c r="D31">
        <f t="shared" si="2"/>
        <v>1.92</v>
      </c>
      <c r="E31">
        <v>74</v>
      </c>
    </row>
    <row r="32" spans="1:5" x14ac:dyDescent="0.3">
      <c r="A32">
        <f t="shared" si="0"/>
        <v>0.16216216216216217</v>
      </c>
      <c r="B32">
        <f t="shared" si="3"/>
        <v>0.98648648648648651</v>
      </c>
      <c r="C32">
        <f t="shared" si="1"/>
        <v>1.9196493791088387</v>
      </c>
      <c r="D32">
        <f t="shared" si="2"/>
        <v>1.9459459459459461</v>
      </c>
      <c r="E32">
        <v>73</v>
      </c>
    </row>
    <row r="33" spans="1:5" x14ac:dyDescent="0.3">
      <c r="A33">
        <f t="shared" si="0"/>
        <v>0.16438356164383561</v>
      </c>
      <c r="B33">
        <f t="shared" si="3"/>
        <v>0.98630136986301364</v>
      </c>
      <c r="C33">
        <f t="shared" si="1"/>
        <v>1.9455807843873145</v>
      </c>
      <c r="D33">
        <f t="shared" si="2"/>
        <v>1.9726027397260273</v>
      </c>
      <c r="E33">
        <v>72</v>
      </c>
    </row>
    <row r="34" spans="1:5" x14ac:dyDescent="0.3">
      <c r="A34">
        <f t="shared" si="0"/>
        <v>0.16666666666666666</v>
      </c>
      <c r="B34">
        <f t="shared" si="3"/>
        <v>0.98611111111111116</v>
      </c>
      <c r="C34">
        <f t="shared" si="1"/>
        <v>1.9722222222222223</v>
      </c>
      <c r="D34">
        <f t="shared" si="2"/>
        <v>2</v>
      </c>
      <c r="E34">
        <v>71</v>
      </c>
    </row>
    <row r="35" spans="1:5" x14ac:dyDescent="0.3">
      <c r="A35">
        <f t="shared" si="0"/>
        <v>0.16901408450704225</v>
      </c>
      <c r="B35">
        <f t="shared" si="3"/>
        <v>0.9859154929577465</v>
      </c>
      <c r="C35">
        <f t="shared" si="1"/>
        <v>1.9996032533227535</v>
      </c>
      <c r="D35">
        <f t="shared" si="2"/>
        <v>2.028169014084507</v>
      </c>
      <c r="E35">
        <v>70</v>
      </c>
    </row>
    <row r="36" spans="1:5" x14ac:dyDescent="0.3">
      <c r="A36">
        <f t="shared" si="0"/>
        <v>0.17142857142857143</v>
      </c>
      <c r="B36">
        <f t="shared" si="3"/>
        <v>0.98571428571428577</v>
      </c>
      <c r="C36">
        <f t="shared" si="1"/>
        <v>2.0277551020408162</v>
      </c>
      <c r="D36">
        <f t="shared" si="2"/>
        <v>2.0571428571428569</v>
      </c>
      <c r="E36">
        <v>69</v>
      </c>
    </row>
    <row r="37" spans="1:5" x14ac:dyDescent="0.3">
      <c r="A37">
        <f t="shared" ref="A37:A68" si="4">$B$2/(C$2+E37)</f>
        <v>0.17391304347826086</v>
      </c>
      <c r="B37">
        <f t="shared" si="3"/>
        <v>0.98550724637681164</v>
      </c>
      <c r="C37">
        <f t="shared" ref="C37:C68" si="5">B$2*A37*(1-A37/A$2)</f>
        <v>2.0567107750472591</v>
      </c>
      <c r="D37">
        <f t="shared" ref="D37:D68" si="6">$B$2*A37</f>
        <v>2.0869565217391304</v>
      </c>
      <c r="E37">
        <v>68</v>
      </c>
    </row>
    <row r="38" spans="1:5" x14ac:dyDescent="0.3">
      <c r="A38">
        <f t="shared" si="4"/>
        <v>0.17647058823529413</v>
      </c>
      <c r="B38">
        <f t="shared" si="3"/>
        <v>0.98529411764705888</v>
      </c>
      <c r="C38">
        <f t="shared" si="5"/>
        <v>2.0865051903114189</v>
      </c>
      <c r="D38">
        <f t="shared" si="6"/>
        <v>2.1176470588235294</v>
      </c>
      <c r="E38">
        <v>67</v>
      </c>
    </row>
    <row r="39" spans="1:5" x14ac:dyDescent="0.3">
      <c r="A39">
        <f t="shared" si="4"/>
        <v>0.17910447761194029</v>
      </c>
      <c r="B39">
        <f t="shared" si="3"/>
        <v>0.9850746268656716</v>
      </c>
      <c r="C39">
        <f t="shared" si="5"/>
        <v>2.1171753174426375</v>
      </c>
      <c r="D39">
        <f t="shared" si="6"/>
        <v>2.1492537313432836</v>
      </c>
      <c r="E39">
        <v>66</v>
      </c>
    </row>
    <row r="40" spans="1:5" x14ac:dyDescent="0.3">
      <c r="A40">
        <f t="shared" si="4"/>
        <v>0.18181818181818182</v>
      </c>
      <c r="B40">
        <f t="shared" si="3"/>
        <v>0.98484848484848486</v>
      </c>
      <c r="C40">
        <f t="shared" si="5"/>
        <v>2.1487603305785123</v>
      </c>
      <c r="D40">
        <f t="shared" si="6"/>
        <v>2.1818181818181817</v>
      </c>
      <c r="E40">
        <v>65</v>
      </c>
    </row>
    <row r="41" spans="1:5" x14ac:dyDescent="0.3">
      <c r="A41">
        <f t="shared" si="4"/>
        <v>0.18461538461538463</v>
      </c>
      <c r="B41">
        <f t="shared" si="3"/>
        <v>0.98461538461538467</v>
      </c>
      <c r="C41">
        <f t="shared" si="5"/>
        <v>2.1813017751479293</v>
      </c>
      <c r="D41">
        <f t="shared" si="6"/>
        <v>2.2153846153846155</v>
      </c>
      <c r="E41">
        <v>64</v>
      </c>
    </row>
    <row r="42" spans="1:5" x14ac:dyDescent="0.3">
      <c r="A42">
        <f t="shared" si="4"/>
        <v>0.1875</v>
      </c>
      <c r="B42">
        <f t="shared" si="3"/>
        <v>0.984375</v>
      </c>
      <c r="C42">
        <f t="shared" si="5"/>
        <v>2.21484375</v>
      </c>
      <c r="D42">
        <f t="shared" si="6"/>
        <v>2.25</v>
      </c>
      <c r="E42">
        <v>63</v>
      </c>
    </row>
    <row r="43" spans="1:5" x14ac:dyDescent="0.3">
      <c r="A43">
        <f t="shared" si="4"/>
        <v>0.19047619047619047</v>
      </c>
      <c r="B43">
        <f t="shared" si="3"/>
        <v>0.98412698412698418</v>
      </c>
      <c r="C43">
        <f t="shared" si="5"/>
        <v>2.2494331065759638</v>
      </c>
      <c r="D43">
        <f t="shared" si="6"/>
        <v>2.2857142857142856</v>
      </c>
      <c r="E43">
        <v>62</v>
      </c>
    </row>
    <row r="44" spans="1:5" x14ac:dyDescent="0.3">
      <c r="A44">
        <f t="shared" si="4"/>
        <v>0.19354838709677419</v>
      </c>
      <c r="B44">
        <f t="shared" si="3"/>
        <v>0.9838709677419355</v>
      </c>
      <c r="C44">
        <f t="shared" si="5"/>
        <v>2.2851196670135274</v>
      </c>
      <c r="D44">
        <f t="shared" si="6"/>
        <v>2.32258064516129</v>
      </c>
      <c r="E44">
        <v>61</v>
      </c>
    </row>
    <row r="45" spans="1:5" x14ac:dyDescent="0.3">
      <c r="A45">
        <f t="shared" si="4"/>
        <v>0.19672131147540983</v>
      </c>
      <c r="B45">
        <f t="shared" si="3"/>
        <v>0.98360655737704905</v>
      </c>
      <c r="C45">
        <f t="shared" si="5"/>
        <v>2.3219564633163126</v>
      </c>
      <c r="D45">
        <f t="shared" si="6"/>
        <v>2.360655737704918</v>
      </c>
      <c r="E45">
        <v>60</v>
      </c>
    </row>
    <row r="46" spans="1:5" x14ac:dyDescent="0.3">
      <c r="A46">
        <f t="shared" si="4"/>
        <v>0.2</v>
      </c>
      <c r="B46">
        <f t="shared" si="3"/>
        <v>0.98333333333333328</v>
      </c>
      <c r="C46">
        <f t="shared" si="5"/>
        <v>2.3600000000000003</v>
      </c>
      <c r="D46">
        <f t="shared" si="6"/>
        <v>2.4000000000000004</v>
      </c>
      <c r="E46">
        <v>59</v>
      </c>
    </row>
    <row r="47" spans="1:5" x14ac:dyDescent="0.3">
      <c r="A47">
        <f t="shared" si="4"/>
        <v>0.20338983050847459</v>
      </c>
      <c r="B47">
        <f t="shared" si="3"/>
        <v>0.98305084745762716</v>
      </c>
      <c r="C47">
        <f t="shared" si="5"/>
        <v>2.3993105429474291</v>
      </c>
      <c r="D47">
        <f t="shared" si="6"/>
        <v>2.4406779661016951</v>
      </c>
      <c r="E47">
        <v>58</v>
      </c>
    </row>
    <row r="48" spans="1:5" x14ac:dyDescent="0.3">
      <c r="A48">
        <f t="shared" si="4"/>
        <v>0.20689655172413793</v>
      </c>
      <c r="B48">
        <f t="shared" si="3"/>
        <v>0.98275862068965514</v>
      </c>
      <c r="C48">
        <f t="shared" si="5"/>
        <v>2.4399524375743162</v>
      </c>
      <c r="D48">
        <f t="shared" si="6"/>
        <v>2.4827586206896552</v>
      </c>
      <c r="E48">
        <v>57</v>
      </c>
    </row>
    <row r="49" spans="1:5" x14ac:dyDescent="0.3">
      <c r="A49">
        <f t="shared" si="4"/>
        <v>0.21052631578947367</v>
      </c>
      <c r="B49">
        <f t="shared" si="3"/>
        <v>0.98245614035087714</v>
      </c>
      <c r="C49">
        <f t="shared" si="5"/>
        <v>2.4819944598337949</v>
      </c>
      <c r="D49">
        <f t="shared" si="6"/>
        <v>2.5263157894736841</v>
      </c>
      <c r="E49">
        <v>56</v>
      </c>
    </row>
    <row r="50" spans="1:5" x14ac:dyDescent="0.3">
      <c r="A50">
        <f t="shared" si="4"/>
        <v>0.21428571428571427</v>
      </c>
      <c r="B50">
        <f t="shared" si="3"/>
        <v>0.9821428571428571</v>
      </c>
      <c r="C50">
        <f t="shared" si="5"/>
        <v>2.5255102040816322</v>
      </c>
      <c r="D50">
        <f t="shared" si="6"/>
        <v>2.5714285714285712</v>
      </c>
      <c r="E50">
        <v>55</v>
      </c>
    </row>
    <row r="51" spans="1:5" x14ac:dyDescent="0.3">
      <c r="A51">
        <f t="shared" si="4"/>
        <v>0.21818181818181817</v>
      </c>
      <c r="B51">
        <f t="shared" si="3"/>
        <v>0.98181818181818181</v>
      </c>
      <c r="C51">
        <f t="shared" si="5"/>
        <v>2.5705785123966942</v>
      </c>
      <c r="D51">
        <f t="shared" si="6"/>
        <v>2.6181818181818182</v>
      </c>
      <c r="E51">
        <v>54</v>
      </c>
    </row>
    <row r="52" spans="1:5" x14ac:dyDescent="0.3">
      <c r="A52">
        <f t="shared" si="4"/>
        <v>0.22222222222222221</v>
      </c>
      <c r="B52">
        <f t="shared" si="3"/>
        <v>0.98148148148148151</v>
      </c>
      <c r="C52">
        <f t="shared" si="5"/>
        <v>2.617283950617284</v>
      </c>
      <c r="D52">
        <f t="shared" si="6"/>
        <v>2.6666666666666665</v>
      </c>
      <c r="E52">
        <v>53</v>
      </c>
    </row>
    <row r="53" spans="1:5" x14ac:dyDescent="0.3">
      <c r="A53">
        <f t="shared" si="4"/>
        <v>0.22641509433962265</v>
      </c>
      <c r="B53">
        <f t="shared" si="3"/>
        <v>0.98113207547169812</v>
      </c>
      <c r="C53">
        <f t="shared" si="5"/>
        <v>2.6657173371306517</v>
      </c>
      <c r="D53">
        <f t="shared" si="6"/>
        <v>2.716981132075472</v>
      </c>
      <c r="E53">
        <v>52</v>
      </c>
    </row>
    <row r="54" spans="1:5" x14ac:dyDescent="0.3">
      <c r="A54">
        <f t="shared" si="4"/>
        <v>0.23076923076923078</v>
      </c>
      <c r="B54">
        <f t="shared" si="3"/>
        <v>0.98076923076923073</v>
      </c>
      <c r="C54">
        <f t="shared" si="5"/>
        <v>2.7159763313609466</v>
      </c>
      <c r="D54">
        <f t="shared" si="6"/>
        <v>2.7692307692307692</v>
      </c>
      <c r="E54">
        <v>51</v>
      </c>
    </row>
    <row r="55" spans="1:5" x14ac:dyDescent="0.3">
      <c r="A55">
        <f t="shared" si="4"/>
        <v>0.23529411764705882</v>
      </c>
      <c r="B55">
        <f t="shared" si="3"/>
        <v>0.98039215686274506</v>
      </c>
      <c r="C55">
        <f t="shared" si="5"/>
        <v>2.7681660899653977</v>
      </c>
      <c r="D55">
        <f t="shared" si="6"/>
        <v>2.8235294117647056</v>
      </c>
      <c r="E55">
        <v>50</v>
      </c>
    </row>
    <row r="56" spans="1:5" x14ac:dyDescent="0.3">
      <c r="A56">
        <f t="shared" si="4"/>
        <v>0.24</v>
      </c>
      <c r="B56">
        <f t="shared" si="3"/>
        <v>0.98000000000000009</v>
      </c>
      <c r="C56">
        <f t="shared" si="5"/>
        <v>2.8224</v>
      </c>
      <c r="D56">
        <f t="shared" si="6"/>
        <v>2.88</v>
      </c>
      <c r="E56">
        <v>49</v>
      </c>
    </row>
    <row r="57" spans="1:5" x14ac:dyDescent="0.3">
      <c r="A57">
        <f t="shared" si="4"/>
        <v>0.24489795918367346</v>
      </c>
      <c r="B57">
        <f t="shared" si="3"/>
        <v>0.97959183673469374</v>
      </c>
      <c r="C57">
        <f t="shared" si="5"/>
        <v>2.8788004997917529</v>
      </c>
      <c r="D57">
        <f t="shared" si="6"/>
        <v>2.9387755102040813</v>
      </c>
      <c r="E57">
        <v>48</v>
      </c>
    </row>
    <row r="58" spans="1:5" x14ac:dyDescent="0.3">
      <c r="A58">
        <f t="shared" si="4"/>
        <v>0.25</v>
      </c>
      <c r="B58">
        <f t="shared" si="3"/>
        <v>0.97916666666666663</v>
      </c>
      <c r="C58">
        <f t="shared" si="5"/>
        <v>2.9375</v>
      </c>
      <c r="D58">
        <f t="shared" si="6"/>
        <v>3</v>
      </c>
      <c r="E58">
        <v>47</v>
      </c>
    </row>
    <row r="59" spans="1:5" x14ac:dyDescent="0.3">
      <c r="A59">
        <f t="shared" si="4"/>
        <v>0.25531914893617019</v>
      </c>
      <c r="B59">
        <f t="shared" si="3"/>
        <v>0.97872340425531912</v>
      </c>
      <c r="C59">
        <f t="shared" si="5"/>
        <v>2.9986419194205522</v>
      </c>
      <c r="D59">
        <f t="shared" si="6"/>
        <v>3.0638297872340425</v>
      </c>
      <c r="E59">
        <v>46</v>
      </c>
    </row>
    <row r="60" spans="1:5" x14ac:dyDescent="0.3">
      <c r="A60">
        <f t="shared" si="4"/>
        <v>0.2608695652173913</v>
      </c>
      <c r="B60">
        <f t="shared" si="3"/>
        <v>0.97826086956521752</v>
      </c>
      <c r="C60">
        <f t="shared" si="5"/>
        <v>3.0623818525519848</v>
      </c>
      <c r="D60">
        <f t="shared" si="6"/>
        <v>3.1304347826086953</v>
      </c>
      <c r="E60">
        <v>45</v>
      </c>
    </row>
    <row r="61" spans="1:5" x14ac:dyDescent="0.3">
      <c r="A61">
        <f t="shared" si="4"/>
        <v>0.26666666666666666</v>
      </c>
      <c r="B61">
        <f t="shared" si="3"/>
        <v>0.97777777777777775</v>
      </c>
      <c r="C61">
        <f t="shared" si="5"/>
        <v>3.1288888888888891</v>
      </c>
      <c r="D61">
        <f t="shared" si="6"/>
        <v>3.2</v>
      </c>
      <c r="E61">
        <v>44</v>
      </c>
    </row>
    <row r="62" spans="1:5" x14ac:dyDescent="0.3">
      <c r="A62">
        <f t="shared" si="4"/>
        <v>0.27272727272727271</v>
      </c>
      <c r="B62">
        <f t="shared" si="3"/>
        <v>0.97727272727272729</v>
      </c>
      <c r="C62">
        <f t="shared" si="5"/>
        <v>3.1983471074380163</v>
      </c>
      <c r="D62">
        <f t="shared" si="6"/>
        <v>3.2727272727272725</v>
      </c>
      <c r="E62">
        <v>43</v>
      </c>
    </row>
    <row r="63" spans="1:5" x14ac:dyDescent="0.3">
      <c r="A63">
        <f t="shared" si="4"/>
        <v>0.27906976744186046</v>
      </c>
      <c r="B63">
        <f t="shared" si="3"/>
        <v>0.97674418604651159</v>
      </c>
      <c r="C63">
        <f t="shared" si="5"/>
        <v>3.2709572742022712</v>
      </c>
      <c r="D63">
        <f t="shared" si="6"/>
        <v>3.3488372093023253</v>
      </c>
      <c r="E63">
        <v>42</v>
      </c>
    </row>
    <row r="64" spans="1:5" x14ac:dyDescent="0.3">
      <c r="A64">
        <f t="shared" si="4"/>
        <v>0.2857142857142857</v>
      </c>
      <c r="B64">
        <f t="shared" si="3"/>
        <v>0.97619047619047616</v>
      </c>
      <c r="C64">
        <f t="shared" si="5"/>
        <v>3.3469387755102038</v>
      </c>
      <c r="D64">
        <f t="shared" si="6"/>
        <v>3.4285714285714284</v>
      </c>
      <c r="E64">
        <v>41</v>
      </c>
    </row>
    <row r="65" spans="1:5" x14ac:dyDescent="0.3">
      <c r="A65">
        <f t="shared" si="4"/>
        <v>0.29268292682926828</v>
      </c>
      <c r="B65">
        <f t="shared" si="3"/>
        <v>0.97560975609756095</v>
      </c>
      <c r="C65">
        <f t="shared" si="5"/>
        <v>3.4265318262938722</v>
      </c>
      <c r="D65">
        <f t="shared" si="6"/>
        <v>3.5121951219512191</v>
      </c>
      <c r="E65">
        <v>40</v>
      </c>
    </row>
    <row r="66" spans="1:5" x14ac:dyDescent="0.3">
      <c r="A66">
        <f t="shared" si="4"/>
        <v>0.3</v>
      </c>
      <c r="B66">
        <f t="shared" si="3"/>
        <v>0.97500000000000009</v>
      </c>
      <c r="C66">
        <f t="shared" si="5"/>
        <v>3.51</v>
      </c>
      <c r="D66">
        <f t="shared" si="6"/>
        <v>3.5999999999999996</v>
      </c>
      <c r="E66">
        <v>39</v>
      </c>
    </row>
    <row r="67" spans="1:5" x14ac:dyDescent="0.3">
      <c r="A67">
        <f t="shared" si="4"/>
        <v>0.30769230769230771</v>
      </c>
      <c r="B67">
        <f t="shared" si="3"/>
        <v>0.97435897435897434</v>
      </c>
      <c r="C67">
        <f t="shared" si="5"/>
        <v>3.5976331360946747</v>
      </c>
      <c r="D67">
        <f t="shared" si="6"/>
        <v>3.6923076923076925</v>
      </c>
      <c r="E67">
        <v>38</v>
      </c>
    </row>
    <row r="68" spans="1:5" x14ac:dyDescent="0.3">
      <c r="A68">
        <f t="shared" si="4"/>
        <v>0.31578947368421051</v>
      </c>
      <c r="B68">
        <f t="shared" si="3"/>
        <v>0.97368421052631582</v>
      </c>
      <c r="C68">
        <f t="shared" si="5"/>
        <v>3.6897506925207755</v>
      </c>
      <c r="D68">
        <f t="shared" si="6"/>
        <v>3.7894736842105261</v>
      </c>
      <c r="E68">
        <v>37</v>
      </c>
    </row>
    <row r="69" spans="1:5" x14ac:dyDescent="0.3">
      <c r="A69">
        <f t="shared" ref="A69:A105" si="7">$B$2/(C$2+E69)</f>
        <v>0.32432432432432434</v>
      </c>
      <c r="B69">
        <f t="shared" si="3"/>
        <v>0.97297297297297303</v>
      </c>
      <c r="C69">
        <f t="shared" ref="C69:C100" si="8">B$2*A69*(1-A69/A$2)</f>
        <v>3.7867056245434627</v>
      </c>
      <c r="D69">
        <f t="shared" ref="D69:D105" si="9">$B$2*A69</f>
        <v>3.8918918918918921</v>
      </c>
      <c r="E69">
        <v>36</v>
      </c>
    </row>
    <row r="70" spans="1:5" x14ac:dyDescent="0.3">
      <c r="A70">
        <f t="shared" si="7"/>
        <v>0.33333333333333331</v>
      </c>
      <c r="B70">
        <f t="shared" ref="B70:B105" si="10">C70/D70</f>
        <v>0.97222222222222221</v>
      </c>
      <c r="C70">
        <f t="shared" si="8"/>
        <v>3.8888888888888888</v>
      </c>
      <c r="D70">
        <f t="shared" si="9"/>
        <v>4</v>
      </c>
      <c r="E70">
        <v>35</v>
      </c>
    </row>
    <row r="71" spans="1:5" x14ac:dyDescent="0.3">
      <c r="A71">
        <f t="shared" si="7"/>
        <v>0.34285714285714286</v>
      </c>
      <c r="B71">
        <f t="shared" si="10"/>
        <v>0.97142857142857142</v>
      </c>
      <c r="C71">
        <f t="shared" si="8"/>
        <v>3.9967346938775505</v>
      </c>
      <c r="D71">
        <f t="shared" si="9"/>
        <v>4.1142857142857139</v>
      </c>
      <c r="E71">
        <v>34</v>
      </c>
    </row>
    <row r="72" spans="1:5" x14ac:dyDescent="0.3">
      <c r="A72">
        <f t="shared" si="7"/>
        <v>0.35294117647058826</v>
      </c>
      <c r="B72">
        <f t="shared" si="10"/>
        <v>0.97058823529411764</v>
      </c>
      <c r="C72">
        <f t="shared" si="8"/>
        <v>4.1107266435986158</v>
      </c>
      <c r="D72">
        <f t="shared" si="9"/>
        <v>4.2352941176470589</v>
      </c>
      <c r="E72">
        <v>33</v>
      </c>
    </row>
    <row r="73" spans="1:5" x14ac:dyDescent="0.3">
      <c r="A73">
        <f t="shared" si="7"/>
        <v>0.36363636363636365</v>
      </c>
      <c r="B73">
        <f t="shared" si="10"/>
        <v>0.96969696969696983</v>
      </c>
      <c r="C73">
        <f t="shared" si="8"/>
        <v>4.2314049586776861</v>
      </c>
      <c r="D73">
        <f t="shared" si="9"/>
        <v>4.3636363636363633</v>
      </c>
      <c r="E73">
        <v>32</v>
      </c>
    </row>
    <row r="74" spans="1:5" x14ac:dyDescent="0.3">
      <c r="A74">
        <f t="shared" si="7"/>
        <v>0.375</v>
      </c>
      <c r="B74">
        <f t="shared" si="10"/>
        <v>0.96875</v>
      </c>
      <c r="C74">
        <f t="shared" si="8"/>
        <v>4.359375</v>
      </c>
      <c r="D74">
        <f t="shared" si="9"/>
        <v>4.5</v>
      </c>
      <c r="E74">
        <v>31</v>
      </c>
    </row>
    <row r="75" spans="1:5" x14ac:dyDescent="0.3">
      <c r="A75">
        <f t="shared" si="7"/>
        <v>0.38709677419354838</v>
      </c>
      <c r="B75">
        <f t="shared" si="10"/>
        <v>0.96774193548387111</v>
      </c>
      <c r="C75">
        <f t="shared" si="8"/>
        <v>4.4953173777315296</v>
      </c>
      <c r="D75">
        <f t="shared" si="9"/>
        <v>4.6451612903225801</v>
      </c>
      <c r="E75">
        <v>30</v>
      </c>
    </row>
    <row r="76" spans="1:5" x14ac:dyDescent="0.3">
      <c r="A76">
        <f t="shared" si="7"/>
        <v>0.4</v>
      </c>
      <c r="B76">
        <f t="shared" si="10"/>
        <v>0.96666666666666667</v>
      </c>
      <c r="C76">
        <f t="shared" si="8"/>
        <v>4.6400000000000006</v>
      </c>
      <c r="D76">
        <f t="shared" si="9"/>
        <v>4.8000000000000007</v>
      </c>
      <c r="E76">
        <v>29</v>
      </c>
    </row>
    <row r="77" spans="1:5" x14ac:dyDescent="0.3">
      <c r="A77">
        <f t="shared" si="7"/>
        <v>0.41379310344827586</v>
      </c>
      <c r="B77">
        <f t="shared" si="10"/>
        <v>0.96551724137931039</v>
      </c>
      <c r="C77">
        <f t="shared" si="8"/>
        <v>4.7942925089179553</v>
      </c>
      <c r="D77">
        <f t="shared" si="9"/>
        <v>4.9655172413793105</v>
      </c>
      <c r="E77">
        <v>28</v>
      </c>
    </row>
    <row r="78" spans="1:5" x14ac:dyDescent="0.3">
      <c r="A78">
        <f t="shared" si="7"/>
        <v>0.42857142857142855</v>
      </c>
      <c r="B78">
        <f t="shared" si="10"/>
        <v>0.9642857142857143</v>
      </c>
      <c r="C78">
        <f t="shared" si="8"/>
        <v>4.9591836734693873</v>
      </c>
      <c r="D78">
        <f t="shared" si="9"/>
        <v>5.1428571428571423</v>
      </c>
      <c r="E78">
        <v>27</v>
      </c>
    </row>
    <row r="79" spans="1:5" x14ac:dyDescent="0.3">
      <c r="A79">
        <f t="shared" si="7"/>
        <v>0.44444444444444442</v>
      </c>
      <c r="B79">
        <f t="shared" si="10"/>
        <v>0.96296296296296291</v>
      </c>
      <c r="C79">
        <f t="shared" si="8"/>
        <v>5.1358024691358022</v>
      </c>
      <c r="D79">
        <f t="shared" si="9"/>
        <v>5.333333333333333</v>
      </c>
      <c r="E79">
        <v>26</v>
      </c>
    </row>
    <row r="80" spans="1:5" x14ac:dyDescent="0.3">
      <c r="A80">
        <f t="shared" si="7"/>
        <v>0.46153846153846156</v>
      </c>
      <c r="B80">
        <f t="shared" si="10"/>
        <v>0.96153846153846145</v>
      </c>
      <c r="C80">
        <f t="shared" si="8"/>
        <v>5.3254437869822482</v>
      </c>
      <c r="D80">
        <f t="shared" si="9"/>
        <v>5.5384615384615383</v>
      </c>
      <c r="E80">
        <v>25</v>
      </c>
    </row>
    <row r="81" spans="1:5" x14ac:dyDescent="0.3">
      <c r="A81">
        <f t="shared" si="7"/>
        <v>0.48</v>
      </c>
      <c r="B81">
        <f t="shared" si="10"/>
        <v>0.96</v>
      </c>
      <c r="C81">
        <f t="shared" si="8"/>
        <v>5.5295999999999994</v>
      </c>
      <c r="D81">
        <f t="shared" si="9"/>
        <v>5.76</v>
      </c>
      <c r="E81">
        <v>24</v>
      </c>
    </row>
    <row r="82" spans="1:5" x14ac:dyDescent="0.3">
      <c r="A82">
        <f t="shared" si="7"/>
        <v>0.5</v>
      </c>
      <c r="B82">
        <f t="shared" si="10"/>
        <v>0.95833333333333337</v>
      </c>
      <c r="C82">
        <f t="shared" si="8"/>
        <v>5.75</v>
      </c>
      <c r="D82">
        <f t="shared" si="9"/>
        <v>6</v>
      </c>
      <c r="E82">
        <v>23</v>
      </c>
    </row>
    <row r="83" spans="1:5" x14ac:dyDescent="0.3">
      <c r="A83">
        <f t="shared" si="7"/>
        <v>0.52173913043478259</v>
      </c>
      <c r="B83">
        <f t="shared" si="10"/>
        <v>0.95652173913043481</v>
      </c>
      <c r="C83">
        <f t="shared" si="8"/>
        <v>5.9886578449905477</v>
      </c>
      <c r="D83">
        <f t="shared" si="9"/>
        <v>6.2608695652173907</v>
      </c>
      <c r="E83">
        <v>22</v>
      </c>
    </row>
    <row r="84" spans="1:5" x14ac:dyDescent="0.3">
      <c r="A84">
        <f t="shared" si="7"/>
        <v>0.54545454545454541</v>
      </c>
      <c r="B84">
        <f t="shared" si="10"/>
        <v>0.95454545454545459</v>
      </c>
      <c r="C84">
        <f t="shared" si="8"/>
        <v>6.2479338842975203</v>
      </c>
      <c r="D84">
        <f t="shared" si="9"/>
        <v>6.545454545454545</v>
      </c>
      <c r="E84">
        <v>21</v>
      </c>
    </row>
    <row r="85" spans="1:5" x14ac:dyDescent="0.3">
      <c r="A85">
        <f t="shared" si="7"/>
        <v>0.5714285714285714</v>
      </c>
      <c r="B85">
        <f t="shared" si="10"/>
        <v>0.95238095238095233</v>
      </c>
      <c r="C85">
        <f t="shared" si="8"/>
        <v>6.5306122448979584</v>
      </c>
      <c r="D85">
        <f t="shared" si="9"/>
        <v>6.8571428571428568</v>
      </c>
      <c r="E85">
        <v>20</v>
      </c>
    </row>
    <row r="86" spans="1:5" x14ac:dyDescent="0.3">
      <c r="A86">
        <f t="shared" si="7"/>
        <v>0.6</v>
      </c>
      <c r="B86">
        <f t="shared" si="10"/>
        <v>0.95</v>
      </c>
      <c r="C86">
        <f t="shared" si="8"/>
        <v>6.839999999999999</v>
      </c>
      <c r="D86">
        <f t="shared" si="9"/>
        <v>7.1999999999999993</v>
      </c>
      <c r="E86">
        <v>19</v>
      </c>
    </row>
    <row r="87" spans="1:5" x14ac:dyDescent="0.3">
      <c r="A87">
        <f t="shared" si="7"/>
        <v>0.63157894736842102</v>
      </c>
      <c r="B87">
        <f t="shared" si="10"/>
        <v>0.94736842105263164</v>
      </c>
      <c r="C87">
        <f t="shared" si="8"/>
        <v>7.1800554016620497</v>
      </c>
      <c r="D87">
        <f t="shared" si="9"/>
        <v>7.5789473684210522</v>
      </c>
      <c r="E87">
        <v>18</v>
      </c>
    </row>
    <row r="88" spans="1:5" x14ac:dyDescent="0.3">
      <c r="A88">
        <f t="shared" si="7"/>
        <v>0.66666666666666663</v>
      </c>
      <c r="B88">
        <f t="shared" si="10"/>
        <v>0.94444444444444442</v>
      </c>
      <c r="C88">
        <f t="shared" si="8"/>
        <v>7.5555555555555554</v>
      </c>
      <c r="D88">
        <f t="shared" si="9"/>
        <v>8</v>
      </c>
      <c r="E88">
        <v>17</v>
      </c>
    </row>
    <row r="89" spans="1:5" x14ac:dyDescent="0.3">
      <c r="A89">
        <f t="shared" si="7"/>
        <v>0.70588235294117652</v>
      </c>
      <c r="B89">
        <f t="shared" si="10"/>
        <v>0.94117647058823528</v>
      </c>
      <c r="C89">
        <f t="shared" si="8"/>
        <v>7.9723183391003456</v>
      </c>
      <c r="D89">
        <f t="shared" si="9"/>
        <v>8.4705882352941178</v>
      </c>
      <c r="E89">
        <v>16</v>
      </c>
    </row>
    <row r="90" spans="1:5" x14ac:dyDescent="0.3">
      <c r="A90">
        <f t="shared" si="7"/>
        <v>0.75</v>
      </c>
      <c r="B90">
        <f t="shared" si="10"/>
        <v>0.9375</v>
      </c>
      <c r="C90">
        <f t="shared" si="8"/>
        <v>8.4375</v>
      </c>
      <c r="D90">
        <f t="shared" si="9"/>
        <v>9</v>
      </c>
      <c r="E90">
        <v>15</v>
      </c>
    </row>
    <row r="91" spans="1:5" x14ac:dyDescent="0.3">
      <c r="A91">
        <f t="shared" si="7"/>
        <v>0.8</v>
      </c>
      <c r="B91">
        <f t="shared" si="10"/>
        <v>0.93333333333333324</v>
      </c>
      <c r="C91">
        <f t="shared" si="8"/>
        <v>8.9600000000000009</v>
      </c>
      <c r="D91">
        <f t="shared" si="9"/>
        <v>9.6000000000000014</v>
      </c>
      <c r="E91">
        <v>14</v>
      </c>
    </row>
    <row r="92" spans="1:5" x14ac:dyDescent="0.3">
      <c r="A92">
        <f t="shared" si="7"/>
        <v>0.8571428571428571</v>
      </c>
      <c r="B92">
        <f t="shared" si="10"/>
        <v>0.9285714285714286</v>
      </c>
      <c r="C92">
        <f t="shared" si="8"/>
        <v>9.5510204081632644</v>
      </c>
      <c r="D92">
        <f t="shared" si="9"/>
        <v>10.285714285714285</v>
      </c>
      <c r="E92">
        <v>13</v>
      </c>
    </row>
    <row r="93" spans="1:5" x14ac:dyDescent="0.3">
      <c r="A93">
        <f t="shared" si="7"/>
        <v>0.92307692307692313</v>
      </c>
      <c r="B93">
        <f t="shared" si="10"/>
        <v>0.92307692307692313</v>
      </c>
      <c r="C93">
        <f t="shared" si="8"/>
        <v>10.224852071005918</v>
      </c>
      <c r="D93">
        <f t="shared" si="9"/>
        <v>11.076923076923077</v>
      </c>
      <c r="E93">
        <v>12</v>
      </c>
    </row>
    <row r="94" spans="1:5" x14ac:dyDescent="0.3">
      <c r="A94">
        <f t="shared" si="7"/>
        <v>1</v>
      </c>
      <c r="B94">
        <f t="shared" si="10"/>
        <v>0.91666666666666663</v>
      </c>
      <c r="C94">
        <f t="shared" si="8"/>
        <v>11</v>
      </c>
      <c r="D94">
        <f t="shared" si="9"/>
        <v>12</v>
      </c>
      <c r="E94">
        <v>11</v>
      </c>
    </row>
    <row r="95" spans="1:5" x14ac:dyDescent="0.3">
      <c r="A95">
        <f t="shared" si="7"/>
        <v>1.0909090909090908</v>
      </c>
      <c r="B95">
        <f t="shared" si="10"/>
        <v>0.90909090909090906</v>
      </c>
      <c r="C95">
        <f t="shared" si="8"/>
        <v>11.900826446280991</v>
      </c>
      <c r="D95">
        <f t="shared" si="9"/>
        <v>13.09090909090909</v>
      </c>
      <c r="E95">
        <v>10</v>
      </c>
    </row>
    <row r="96" spans="1:5" x14ac:dyDescent="0.3">
      <c r="A96">
        <f t="shared" si="7"/>
        <v>1.2</v>
      </c>
      <c r="B96">
        <f t="shared" si="10"/>
        <v>0.9</v>
      </c>
      <c r="C96">
        <f t="shared" si="8"/>
        <v>12.959999999999999</v>
      </c>
      <c r="D96">
        <f t="shared" si="9"/>
        <v>14.399999999999999</v>
      </c>
      <c r="E96">
        <v>9</v>
      </c>
    </row>
    <row r="97" spans="1:5" x14ac:dyDescent="0.3">
      <c r="A97">
        <f t="shared" si="7"/>
        <v>1.3333333333333333</v>
      </c>
      <c r="B97">
        <f t="shared" si="10"/>
        <v>0.88888888888888884</v>
      </c>
      <c r="C97">
        <f t="shared" si="8"/>
        <v>14.222222222222221</v>
      </c>
      <c r="D97">
        <f t="shared" si="9"/>
        <v>16</v>
      </c>
      <c r="E97">
        <v>8</v>
      </c>
    </row>
    <row r="98" spans="1:5" x14ac:dyDescent="0.3">
      <c r="A98">
        <f t="shared" si="7"/>
        <v>1.5</v>
      </c>
      <c r="B98">
        <f t="shared" si="10"/>
        <v>0.875</v>
      </c>
      <c r="C98">
        <f t="shared" si="8"/>
        <v>15.75</v>
      </c>
      <c r="D98">
        <f t="shared" si="9"/>
        <v>18</v>
      </c>
      <c r="E98">
        <v>7</v>
      </c>
    </row>
    <row r="99" spans="1:5" x14ac:dyDescent="0.3">
      <c r="A99">
        <f t="shared" si="7"/>
        <v>1.7142857142857142</v>
      </c>
      <c r="B99">
        <f t="shared" si="10"/>
        <v>0.8571428571428571</v>
      </c>
      <c r="C99">
        <f t="shared" si="8"/>
        <v>17.632653061224488</v>
      </c>
      <c r="D99">
        <f t="shared" si="9"/>
        <v>20.571428571428569</v>
      </c>
      <c r="E99">
        <v>6</v>
      </c>
    </row>
    <row r="100" spans="1:5" x14ac:dyDescent="0.3">
      <c r="A100">
        <f t="shared" si="7"/>
        <v>2</v>
      </c>
      <c r="B100">
        <f t="shared" si="10"/>
        <v>0.83333333333333337</v>
      </c>
      <c r="C100">
        <f t="shared" si="8"/>
        <v>20</v>
      </c>
      <c r="D100">
        <f t="shared" si="9"/>
        <v>24</v>
      </c>
      <c r="E100">
        <v>5</v>
      </c>
    </row>
    <row r="101" spans="1:5" x14ac:dyDescent="0.3">
      <c r="A101">
        <f t="shared" si="7"/>
        <v>2.4</v>
      </c>
      <c r="B101">
        <f t="shared" si="10"/>
        <v>0.8</v>
      </c>
      <c r="C101">
        <f t="shared" ref="C101:C132" si="11">B$2*A101*(1-A101/A$2)</f>
        <v>23.04</v>
      </c>
      <c r="D101">
        <f t="shared" si="9"/>
        <v>28.799999999999997</v>
      </c>
      <c r="E101">
        <v>4</v>
      </c>
    </row>
    <row r="102" spans="1:5" x14ac:dyDescent="0.3">
      <c r="A102">
        <f t="shared" si="7"/>
        <v>3</v>
      </c>
      <c r="B102">
        <f t="shared" si="10"/>
        <v>0.75</v>
      </c>
      <c r="C102">
        <f t="shared" si="11"/>
        <v>27</v>
      </c>
      <c r="D102">
        <f t="shared" si="9"/>
        <v>36</v>
      </c>
      <c r="E102">
        <v>3</v>
      </c>
    </row>
    <row r="103" spans="1:5" x14ac:dyDescent="0.3">
      <c r="A103">
        <f t="shared" si="7"/>
        <v>4</v>
      </c>
      <c r="B103">
        <f t="shared" si="10"/>
        <v>0.66666666666666663</v>
      </c>
      <c r="C103">
        <f t="shared" si="11"/>
        <v>32</v>
      </c>
      <c r="D103">
        <f t="shared" si="9"/>
        <v>48</v>
      </c>
      <c r="E103">
        <v>2</v>
      </c>
    </row>
    <row r="104" spans="1:5" x14ac:dyDescent="0.3">
      <c r="A104">
        <f t="shared" si="7"/>
        <v>6</v>
      </c>
      <c r="B104">
        <f t="shared" si="10"/>
        <v>0.5</v>
      </c>
      <c r="C104">
        <f t="shared" si="11"/>
        <v>36</v>
      </c>
      <c r="D104">
        <f t="shared" si="9"/>
        <v>72</v>
      </c>
      <c r="E104">
        <v>1</v>
      </c>
    </row>
    <row r="105" spans="1:5" x14ac:dyDescent="0.3">
      <c r="A105">
        <f t="shared" si="7"/>
        <v>12</v>
      </c>
      <c r="B105">
        <f t="shared" si="10"/>
        <v>0</v>
      </c>
      <c r="C105">
        <f t="shared" si="11"/>
        <v>0</v>
      </c>
      <c r="D105">
        <f t="shared" si="9"/>
        <v>144</v>
      </c>
      <c r="E105">
        <v>0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2022-12-20T16:41:21Z</dcterms:modified>
</cp:coreProperties>
</file>