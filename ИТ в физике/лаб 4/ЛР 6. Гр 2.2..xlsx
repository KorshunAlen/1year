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Kanoo\Desktop\Алёна\ИТ в физике\лаба 4\"/>
    </mc:Choice>
  </mc:AlternateContent>
  <xr:revisionPtr revIDLastSave="0" documentId="13_ncr:1_{77255A12-9D0A-4EBE-A6EE-47CB5CA048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математический маятник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B8" i="2" s="1"/>
  <c r="B29" i="2" l="1"/>
  <c r="B52" i="2" l="1"/>
  <c r="B44" i="2"/>
  <c r="B36" i="2"/>
  <c r="B35" i="2"/>
  <c r="B51" i="2"/>
  <c r="B43" i="2"/>
  <c r="B58" i="2"/>
  <c r="B50" i="2"/>
  <c r="B42" i="2"/>
  <c r="B34" i="2"/>
  <c r="B33" i="2"/>
  <c r="B41" i="2"/>
  <c r="B56" i="2"/>
  <c r="B48" i="2"/>
  <c r="B40" i="2"/>
  <c r="B32" i="2"/>
  <c r="B31" i="2"/>
  <c r="B57" i="2"/>
  <c r="B55" i="2"/>
  <c r="B39" i="2"/>
  <c r="B54" i="2"/>
  <c r="B46" i="2"/>
  <c r="B38" i="2"/>
  <c r="B30" i="2"/>
  <c r="B49" i="2"/>
  <c r="B47" i="2"/>
  <c r="B53" i="2"/>
  <c r="B45" i="2"/>
  <c r="B37" i="2"/>
  <c r="B9" i="2"/>
  <c r="B19" i="2"/>
  <c r="B10" i="2"/>
  <c r="B15" i="2"/>
  <c r="B20" i="2"/>
  <c r="B26" i="2"/>
  <c r="B25" i="2"/>
  <c r="B21" i="2"/>
  <c r="B17" i="2"/>
  <c r="B13" i="2"/>
  <c r="B11" i="2"/>
  <c r="B16" i="2"/>
  <c r="B22" i="2"/>
  <c r="B27" i="2"/>
  <c r="B14" i="2"/>
  <c r="B24" i="2"/>
  <c r="F4" i="2"/>
  <c r="B12" i="2"/>
  <c r="B18" i="2"/>
  <c r="B23" i="2"/>
  <c r="B28" i="2"/>
</calcChain>
</file>

<file path=xl/sharedStrings.xml><?xml version="1.0" encoding="utf-8"?>
<sst xmlns="http://schemas.openxmlformats.org/spreadsheetml/2006/main" count="11" uniqueCount="11">
  <si>
    <t>t</t>
  </si>
  <si>
    <t>исходные данные</t>
  </si>
  <si>
    <t>сторонние вычисления</t>
  </si>
  <si>
    <t>w0</t>
  </si>
  <si>
    <t>p0</t>
  </si>
  <si>
    <t>x(t)</t>
  </si>
  <si>
    <t>T</t>
  </si>
  <si>
    <t>м</t>
  </si>
  <si>
    <t>l</t>
  </si>
  <si>
    <t>a0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</si>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</sst>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solidFill>
                  <a:schemeClr val="tx1"/>
                </a:solidFill>
                <a:effectLst/>
              </a:rPr>
              <a:t>Зависимость перемещения от времени</a:t>
            </a:r>
            <a:endParaRPr lang="en-US" sz="1800" b="0" i="0" baseline="0">
              <a:solidFill>
                <a:schemeClr val="tx1"/>
              </a:solidFill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chemeClr val="tx1"/>
                </a:solidFill>
              </a:defRPr>
            </a:pPr>
            <a:r>
              <a:rPr lang="ru-RU" sz="1800" b="0" i="0" baseline="0">
                <a:solidFill>
                  <a:schemeClr val="tx1"/>
                </a:solidFill>
                <a:effectLst/>
              </a:rPr>
              <a:t> (математический маятник)</a:t>
            </a:r>
            <a:endParaRPr lang="ru-RU">
              <a:solidFill>
                <a:schemeClr val="tx1"/>
              </a:solidFill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chemeClr val="tx1"/>
                </a:solidFill>
              </a:defRPr>
            </a:pPr>
            <a:endParaRPr lang="ru-RU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2757589365080338"/>
          <c:y val="2.7777859502362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501937954794848E-2"/>
          <c:y val="0.22850455451111537"/>
          <c:w val="0.88884518890653064"/>
          <c:h val="0.72582774745795675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'математический маятник'!$A$8:$A$208</c:f>
              <c:numCache>
                <c:formatCode>General</c:formatCode>
                <c:ptCount val="20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</c:numCache>
            </c:numRef>
          </c:xVal>
          <c:yVal>
            <c:numRef>
              <c:f>'математический маятник'!$B$8:$B$208</c:f>
              <c:numCache>
                <c:formatCode>General</c:formatCode>
                <c:ptCount val="201"/>
                <c:pt idx="0">
                  <c:v>0.1</c:v>
                </c:pt>
                <c:pt idx="1">
                  <c:v>8.0657840988507548E-2</c:v>
                </c:pt>
                <c:pt idx="2">
                  <c:v>3.0113746258547371E-2</c:v>
                </c:pt>
                <c:pt idx="3">
                  <c:v>-3.2079645842703952E-2</c:v>
                </c:pt>
                <c:pt idx="4">
                  <c:v>-8.1863245725516495E-2</c:v>
                </c:pt>
                <c:pt idx="5">
                  <c:v>-9.9978607287932592E-2</c:v>
                </c:pt>
                <c:pt idx="6">
                  <c:v>-7.9417926452133747E-2</c:v>
                </c:pt>
                <c:pt idx="7">
                  <c:v>-2.8134962380331231E-2</c:v>
                </c:pt>
                <c:pt idx="8">
                  <c:v>3.4031820014325864E-2</c:v>
                </c:pt>
                <c:pt idx="9">
                  <c:v>8.3033624925631183E-2</c:v>
                </c:pt>
                <c:pt idx="10">
                  <c:v>9.991443830469296E-2</c:v>
                </c:pt>
                <c:pt idx="11">
                  <c:v>7.81440326190882E-2</c:v>
                </c:pt>
                <c:pt idx="12">
                  <c:v>2.6144140839130494E-2</c:v>
                </c:pt>
                <c:pt idx="13">
                  <c:v>-3.5969433527413816E-2</c:v>
                </c:pt>
                <c:pt idx="14">
                  <c:v>-8.4168477837146927E-2</c:v>
                </c:pt>
                <c:pt idx="15">
                  <c:v>-9.9807520505252739E-2</c:v>
                </c:pt>
                <c:pt idx="16">
                  <c:v>-7.6836704530250599E-2</c:v>
                </c:pt>
                <c:pt idx="17">
                  <c:v>-2.4142133416385242E-2</c:v>
                </c:pt>
                <c:pt idx="18">
                  <c:v>3.7891657365807997E-2</c:v>
                </c:pt>
                <c:pt idx="19">
                  <c:v>8.5267318908432296E-2</c:v>
                </c:pt>
                <c:pt idx="20">
                  <c:v>9.9657899634845892E-2</c:v>
                </c:pt>
                <c:pt idx="21">
                  <c:v>7.5496501531488611E-2</c:v>
                </c:pt>
                <c:pt idx="22">
                  <c:v>2.2129796679462424E-2</c:v>
                </c:pt>
                <c:pt idx="23">
                  <c:v>-3.9797669097886512E-2</c:v>
                </c:pt>
                <c:pt idx="24">
                  <c:v>-8.6329677995674189E-2</c:v>
                </c:pt>
                <c:pt idx="25">
                  <c:v>-9.9465639709396425E-2</c:v>
                </c:pt>
                <c:pt idx="26">
                  <c:v>-7.4123997034339181E-2</c:v>
                </c:pt>
                <c:pt idx="27">
                  <c:v>-2.0107991615170476E-2</c:v>
                </c:pt>
                <c:pt idx="28">
                  <c:v>4.1686653228445884E-2</c:v>
                </c:pt>
                <c:pt idx="29">
                  <c:v>8.735510056403159E-2</c:v>
                </c:pt>
                <c:pt idx="30">
                  <c:v>9.9230822988128908E-2</c:v>
                </c:pt>
                <c:pt idx="31">
                  <c:v>7.2719778270673191E-2</c:v>
                </c:pt>
                <c:pt idx="32">
                  <c:v>1.807758326138063E-2</c:v>
                </c:pt>
                <c:pt idx="33">
                  <c:v>-4.3557801547613698E-2</c:v>
                </c:pt>
                <c:pt idx="34">
                  <c:v>-8.8343147882109105E-2</c:v>
                </c:pt>
                <c:pt idx="35">
                  <c:v>-9.8953549938373395E-2</c:v>
                </c:pt>
                <c:pt idx="36">
                  <c:v>-7.1284446041444169E-2</c:v>
                </c:pt>
                <c:pt idx="37">
                  <c:v>-1.6039440336919425E-2</c:v>
                </c:pt>
                <c:pt idx="38">
                  <c:v>4.5410313476645876E-2</c:v>
                </c:pt>
                <c:pt idx="39">
                  <c:v>8.9293397209671221E-2</c:v>
                </c:pt>
                <c:pt idx="40">
                  <c:v>9.8633939192580344E-2</c:v>
                </c:pt>
                <c:pt idx="41">
                  <c:v>6.9818614459634193E-2</c:v>
                </c:pt>
                <c:pt idx="42">
                  <c:v>1.3994434869881221E-2</c:v>
                </c:pt>
                <c:pt idx="43">
                  <c:v>-4.7243396410455801E-2</c:v>
                </c:pt>
                <c:pt idx="44">
                  <c:v>-9.0205441978513087E-2</c:v>
                </c:pt>
                <c:pt idx="45">
                  <c:v>-9.8272127497562867E-2</c:v>
                </c:pt>
                <c:pt idx="46">
                  <c:v>-6.8322910687502597E-2</c:v>
                </c:pt>
                <c:pt idx="47">
                  <c:v>-1.1943441824528315E-2</c:v>
                </c:pt>
                <c:pt idx="48">
                  <c:v>4.9056266056735832E-2</c:v>
                </c:pt>
                <c:pt idx="49">
                  <c:v>9.1078891966411446E-2</c:v>
                </c:pt>
                <c:pt idx="50">
                  <c:v>9.7868269655989173E-2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6B-467E-9087-531CF5FB9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109904"/>
        <c:axId val="313111152"/>
      </c:scatterChart>
      <c:valAx>
        <c:axId val="31310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t,</a:t>
                </a:r>
                <a:r>
                  <a:rPr lang="ru-RU" sz="1100">
                    <a:solidFill>
                      <a:schemeClr val="tx1"/>
                    </a:solidFill>
                  </a:rPr>
                  <a:t>с</a:t>
                </a:r>
              </a:p>
            </c:rich>
          </c:tx>
          <c:layout>
            <c:manualLayout>
              <c:xMode val="edge"/>
              <c:yMode val="edge"/>
              <c:x val="0.93389957271506774"/>
              <c:y val="0.524931392210993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3111152"/>
        <c:crosses val="autoZero"/>
        <c:crossBetween val="midCat"/>
      </c:valAx>
      <c:valAx>
        <c:axId val="31311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x,</a:t>
                </a:r>
                <a:r>
                  <a:rPr lang="ru-RU" sz="1100">
                    <a:solidFill>
                      <a:schemeClr val="tx1"/>
                    </a:solidFill>
                  </a:rPr>
                  <a:t>м</a:t>
                </a:r>
              </a:p>
            </c:rich>
          </c:tx>
          <c:layout>
            <c:manualLayout>
              <c:xMode val="edge"/>
              <c:yMode val="edge"/>
              <c:x val="8.2721320721173594E-2"/>
              <c:y val="0.186210774242372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3109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19989</xdr:colOff>
      <xdr:row>7</xdr:row>
      <xdr:rowOff>12462</xdr:rowOff>
    </xdr:from>
    <xdr:to>
      <xdr:col>13</xdr:col>
      <xdr:colOff>272815</xdr:colOff>
      <xdr:row>27</xdr:row>
      <xdr:rowOff>103481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2A91958-BD1F-6B02-9463-38633E30D1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4369-02EE-448F-AC8A-9B9554761231}">
  <dimension ref="A1:G58"/>
  <sheetViews>
    <sheetView tabSelected="1" zoomScale="90" zoomScaleNormal="90" workbookViewId="0">
      <selection activeCell="J3" sqref="J3"/>
    </sheetView>
  </sheetViews>
  <sheetFormatPr defaultRowHeight="14.4" x14ac:dyDescent="0.3"/>
  <cols>
    <col min="1" max="1" width="9.109375" style="1"/>
    <col min="2" max="2" width="13.33203125" style="1" customWidth="1"/>
    <col min="3" max="3" width="9.109375" style="1"/>
    <col min="5" max="5" width="9.109375" style="1"/>
    <col min="6" max="6" width="8.33203125" style="1" customWidth="1"/>
    <col min="7" max="7" width="9.109375" style="1"/>
  </cols>
  <sheetData>
    <row r="1" spans="1:7" x14ac:dyDescent="0.3">
      <c r="A1" s="3" t="s">
        <v>1</v>
      </c>
      <c r="B1" s="3"/>
      <c r="C1" s="3"/>
      <c r="E1" s="3" t="s">
        <v>2</v>
      </c>
      <c r="F1" s="3"/>
      <c r="G1" s="3"/>
    </row>
    <row r="2" spans="1:7" x14ac:dyDescent="0.3">
      <c r="A2" s="2" t="s">
        <v>8</v>
      </c>
      <c r="B2" s="2">
        <v>1</v>
      </c>
      <c r="C2" s="2" t="s">
        <v>7</v>
      </c>
      <c r="E2" s="2" t="s">
        <v>3</v>
      </c>
      <c r="F2" s="2">
        <f>SQRT(B4/B2)</f>
        <v>3.1622776601683795</v>
      </c>
      <c r="G2" s="2"/>
    </row>
    <row r="3" spans="1:7" x14ac:dyDescent="0.3">
      <c r="A3" s="2" t="s">
        <v>9</v>
      </c>
      <c r="B3" s="2">
        <v>0.1</v>
      </c>
      <c r="C3" s="2"/>
      <c r="E3" s="2" t="s">
        <v>4</v>
      </c>
      <c r="F3" s="2">
        <v>0</v>
      </c>
      <c r="G3" s="2"/>
    </row>
    <row r="4" spans="1:7" x14ac:dyDescent="0.3">
      <c r="A4" s="2" t="s">
        <v>10</v>
      </c>
      <c r="B4" s="2">
        <v>10</v>
      </c>
      <c r="C4" s="2"/>
      <c r="E4" s="2" t="s">
        <v>6</v>
      </c>
      <c r="F4" s="2">
        <f>(2*PI())/F2</f>
        <v>1.9869176531592201</v>
      </c>
      <c r="G4" s="2"/>
    </row>
    <row r="7" spans="1:7" x14ac:dyDescent="0.3">
      <c r="A7" s="2" t="s">
        <v>0</v>
      </c>
      <c r="B7" s="2" t="s">
        <v>5</v>
      </c>
    </row>
    <row r="8" spans="1:7" x14ac:dyDescent="0.3">
      <c r="A8" s="2">
        <v>0</v>
      </c>
      <c r="B8" s="2">
        <f>$B$3*COS($F$2*A8+$F$3)</f>
        <v>0.1</v>
      </c>
    </row>
    <row r="9" spans="1:7" x14ac:dyDescent="0.3">
      <c r="A9" s="2">
        <v>0.2</v>
      </c>
      <c r="B9" s="2">
        <f t="shared" ref="B9:B58" si="0">$B$3*COS($F$2*A9+$F$3)</f>
        <v>8.0657840988507548E-2</v>
      </c>
    </row>
    <row r="10" spans="1:7" x14ac:dyDescent="0.3">
      <c r="A10" s="2">
        <v>0.4</v>
      </c>
      <c r="B10" s="2">
        <f t="shared" si="0"/>
        <v>3.0113746258547371E-2</v>
      </c>
    </row>
    <row r="11" spans="1:7" x14ac:dyDescent="0.3">
      <c r="A11" s="2">
        <v>0.6</v>
      </c>
      <c r="B11" s="2">
        <f t="shared" si="0"/>
        <v>-3.2079645842703952E-2</v>
      </c>
    </row>
    <row r="12" spans="1:7" x14ac:dyDescent="0.3">
      <c r="A12" s="2">
        <v>0.8</v>
      </c>
      <c r="B12" s="2">
        <f t="shared" si="0"/>
        <v>-8.1863245725516495E-2</v>
      </c>
    </row>
    <row r="13" spans="1:7" x14ac:dyDescent="0.3">
      <c r="A13" s="2">
        <v>1</v>
      </c>
      <c r="B13" s="2">
        <f t="shared" si="0"/>
        <v>-9.9978607287932592E-2</v>
      </c>
    </row>
    <row r="14" spans="1:7" x14ac:dyDescent="0.3">
      <c r="A14" s="2">
        <v>1.2</v>
      </c>
      <c r="B14" s="2">
        <f t="shared" si="0"/>
        <v>-7.9417926452133747E-2</v>
      </c>
    </row>
    <row r="15" spans="1:7" x14ac:dyDescent="0.3">
      <c r="A15" s="2">
        <v>1.4</v>
      </c>
      <c r="B15" s="2">
        <f t="shared" si="0"/>
        <v>-2.8134962380331231E-2</v>
      </c>
    </row>
    <row r="16" spans="1:7" x14ac:dyDescent="0.3">
      <c r="A16" s="2">
        <v>1.6</v>
      </c>
      <c r="B16" s="2">
        <f t="shared" si="0"/>
        <v>3.4031820014325864E-2</v>
      </c>
    </row>
    <row r="17" spans="1:2" x14ac:dyDescent="0.3">
      <c r="A17" s="2">
        <v>1.8</v>
      </c>
      <c r="B17" s="2">
        <f t="shared" si="0"/>
        <v>8.3033624925631183E-2</v>
      </c>
    </row>
    <row r="18" spans="1:2" x14ac:dyDescent="0.3">
      <c r="A18" s="2">
        <v>2</v>
      </c>
      <c r="B18" s="2">
        <f t="shared" si="0"/>
        <v>9.991443830469296E-2</v>
      </c>
    </row>
    <row r="19" spans="1:2" x14ac:dyDescent="0.3">
      <c r="A19" s="2">
        <v>2.2000000000000002</v>
      </c>
      <c r="B19" s="2">
        <f t="shared" si="0"/>
        <v>7.81440326190882E-2</v>
      </c>
    </row>
    <row r="20" spans="1:2" x14ac:dyDescent="0.3">
      <c r="A20" s="2">
        <v>2.4</v>
      </c>
      <c r="B20" s="2">
        <f t="shared" si="0"/>
        <v>2.6144140839130494E-2</v>
      </c>
    </row>
    <row r="21" spans="1:2" x14ac:dyDescent="0.3">
      <c r="A21" s="2">
        <v>2.6</v>
      </c>
      <c r="B21" s="2">
        <f t="shared" si="0"/>
        <v>-3.5969433527413816E-2</v>
      </c>
    </row>
    <row r="22" spans="1:2" x14ac:dyDescent="0.3">
      <c r="A22" s="2">
        <v>2.8</v>
      </c>
      <c r="B22" s="2">
        <f t="shared" si="0"/>
        <v>-8.4168477837146927E-2</v>
      </c>
    </row>
    <row r="23" spans="1:2" x14ac:dyDescent="0.3">
      <c r="A23" s="2">
        <v>3</v>
      </c>
      <c r="B23" s="2">
        <f t="shared" si="0"/>
        <v>-9.9807520505252739E-2</v>
      </c>
    </row>
    <row r="24" spans="1:2" x14ac:dyDescent="0.3">
      <c r="A24" s="2">
        <v>3.2</v>
      </c>
      <c r="B24" s="2">
        <f t="shared" si="0"/>
        <v>-7.6836704530250599E-2</v>
      </c>
    </row>
    <row r="25" spans="1:2" x14ac:dyDescent="0.3">
      <c r="A25" s="2">
        <v>3.4</v>
      </c>
      <c r="B25" s="2">
        <f t="shared" si="0"/>
        <v>-2.4142133416385242E-2</v>
      </c>
    </row>
    <row r="26" spans="1:2" x14ac:dyDescent="0.3">
      <c r="A26" s="2">
        <v>3.6</v>
      </c>
      <c r="B26" s="2">
        <f t="shared" si="0"/>
        <v>3.7891657365807997E-2</v>
      </c>
    </row>
    <row r="27" spans="1:2" x14ac:dyDescent="0.3">
      <c r="A27" s="2">
        <v>3.8</v>
      </c>
      <c r="B27" s="2">
        <f t="shared" si="0"/>
        <v>8.5267318908432296E-2</v>
      </c>
    </row>
    <row r="28" spans="1:2" x14ac:dyDescent="0.3">
      <c r="A28" s="2">
        <v>4</v>
      </c>
      <c r="B28" s="2">
        <f t="shared" si="0"/>
        <v>9.9657899634845892E-2</v>
      </c>
    </row>
    <row r="29" spans="1:2" x14ac:dyDescent="0.3">
      <c r="A29" s="2">
        <v>4.2</v>
      </c>
      <c r="B29" s="2">
        <f t="shared" si="0"/>
        <v>7.5496501531488611E-2</v>
      </c>
    </row>
    <row r="30" spans="1:2" x14ac:dyDescent="0.3">
      <c r="A30" s="2">
        <v>4.4000000000000004</v>
      </c>
      <c r="B30" s="2">
        <f t="shared" si="0"/>
        <v>2.2129796679462424E-2</v>
      </c>
    </row>
    <row r="31" spans="1:2" x14ac:dyDescent="0.3">
      <c r="A31" s="2">
        <v>4.5999999999999996</v>
      </c>
      <c r="B31" s="2">
        <f t="shared" si="0"/>
        <v>-3.9797669097886512E-2</v>
      </c>
    </row>
    <row r="32" spans="1:2" x14ac:dyDescent="0.3">
      <c r="A32" s="2">
        <v>4.8</v>
      </c>
      <c r="B32" s="2">
        <f t="shared" si="0"/>
        <v>-8.6329677995674189E-2</v>
      </c>
    </row>
    <row r="33" spans="1:2" x14ac:dyDescent="0.3">
      <c r="A33" s="2">
        <v>5</v>
      </c>
      <c r="B33" s="2">
        <f t="shared" si="0"/>
        <v>-9.9465639709396425E-2</v>
      </c>
    </row>
    <row r="34" spans="1:2" x14ac:dyDescent="0.3">
      <c r="A34" s="2">
        <v>5.2</v>
      </c>
      <c r="B34" s="2">
        <f t="shared" si="0"/>
        <v>-7.4123997034339181E-2</v>
      </c>
    </row>
    <row r="35" spans="1:2" x14ac:dyDescent="0.3">
      <c r="A35" s="2">
        <v>5.4</v>
      </c>
      <c r="B35" s="2">
        <f t="shared" si="0"/>
        <v>-2.0107991615170476E-2</v>
      </c>
    </row>
    <row r="36" spans="1:2" x14ac:dyDescent="0.3">
      <c r="A36" s="2">
        <v>5.6</v>
      </c>
      <c r="B36" s="2">
        <f t="shared" si="0"/>
        <v>4.1686653228445884E-2</v>
      </c>
    </row>
    <row r="37" spans="1:2" x14ac:dyDescent="0.3">
      <c r="A37" s="2">
        <v>5.8</v>
      </c>
      <c r="B37" s="2">
        <f t="shared" si="0"/>
        <v>8.735510056403159E-2</v>
      </c>
    </row>
    <row r="38" spans="1:2" x14ac:dyDescent="0.3">
      <c r="A38" s="2">
        <v>6</v>
      </c>
      <c r="B38" s="2">
        <f t="shared" si="0"/>
        <v>9.9230822988128908E-2</v>
      </c>
    </row>
    <row r="39" spans="1:2" x14ac:dyDescent="0.3">
      <c r="A39" s="2">
        <v>6.2</v>
      </c>
      <c r="B39" s="2">
        <f t="shared" si="0"/>
        <v>7.2719778270673191E-2</v>
      </c>
    </row>
    <row r="40" spans="1:2" x14ac:dyDescent="0.3">
      <c r="A40" s="2">
        <v>6.4</v>
      </c>
      <c r="B40" s="2">
        <f t="shared" si="0"/>
        <v>1.807758326138063E-2</v>
      </c>
    </row>
    <row r="41" spans="1:2" x14ac:dyDescent="0.3">
      <c r="A41" s="2">
        <v>6.6</v>
      </c>
      <c r="B41" s="2">
        <f t="shared" si="0"/>
        <v>-4.3557801547613698E-2</v>
      </c>
    </row>
    <row r="42" spans="1:2" x14ac:dyDescent="0.3">
      <c r="A42" s="2">
        <v>6.8</v>
      </c>
      <c r="B42" s="2">
        <f t="shared" si="0"/>
        <v>-8.8343147882109105E-2</v>
      </c>
    </row>
    <row r="43" spans="1:2" x14ac:dyDescent="0.3">
      <c r="A43" s="2">
        <v>7</v>
      </c>
      <c r="B43" s="2">
        <f t="shared" si="0"/>
        <v>-9.8953549938373395E-2</v>
      </c>
    </row>
    <row r="44" spans="1:2" x14ac:dyDescent="0.3">
      <c r="A44" s="2">
        <v>7.2</v>
      </c>
      <c r="B44" s="2">
        <f t="shared" si="0"/>
        <v>-7.1284446041444169E-2</v>
      </c>
    </row>
    <row r="45" spans="1:2" x14ac:dyDescent="0.3">
      <c r="A45" s="2">
        <v>7.4</v>
      </c>
      <c r="B45" s="2">
        <f t="shared" si="0"/>
        <v>-1.6039440336919425E-2</v>
      </c>
    </row>
    <row r="46" spans="1:2" x14ac:dyDescent="0.3">
      <c r="A46" s="2">
        <v>7.6</v>
      </c>
      <c r="B46" s="2">
        <f t="shared" si="0"/>
        <v>4.5410313476645876E-2</v>
      </c>
    </row>
    <row r="47" spans="1:2" x14ac:dyDescent="0.3">
      <c r="A47" s="2">
        <v>7.8</v>
      </c>
      <c r="B47" s="2">
        <f t="shared" si="0"/>
        <v>8.9293397209671221E-2</v>
      </c>
    </row>
    <row r="48" spans="1:2" x14ac:dyDescent="0.3">
      <c r="A48" s="2">
        <v>8</v>
      </c>
      <c r="B48" s="2">
        <f t="shared" si="0"/>
        <v>9.8633939192580344E-2</v>
      </c>
    </row>
    <row r="49" spans="1:2" x14ac:dyDescent="0.3">
      <c r="A49" s="2">
        <v>8.1999999999999993</v>
      </c>
      <c r="B49" s="2">
        <f t="shared" si="0"/>
        <v>6.9818614459634193E-2</v>
      </c>
    </row>
    <row r="50" spans="1:2" x14ac:dyDescent="0.3">
      <c r="A50" s="2">
        <v>8.4</v>
      </c>
      <c r="B50" s="2">
        <f t="shared" si="0"/>
        <v>1.3994434869881221E-2</v>
      </c>
    </row>
    <row r="51" spans="1:2" x14ac:dyDescent="0.3">
      <c r="A51" s="2">
        <v>8.6</v>
      </c>
      <c r="B51" s="2">
        <f t="shared" si="0"/>
        <v>-4.7243396410455801E-2</v>
      </c>
    </row>
    <row r="52" spans="1:2" x14ac:dyDescent="0.3">
      <c r="A52" s="2">
        <v>8.8000000000000007</v>
      </c>
      <c r="B52" s="2">
        <f t="shared" si="0"/>
        <v>-9.0205441978513087E-2</v>
      </c>
    </row>
    <row r="53" spans="1:2" x14ac:dyDescent="0.3">
      <c r="A53" s="2">
        <v>9</v>
      </c>
      <c r="B53" s="2">
        <f t="shared" si="0"/>
        <v>-9.8272127497562867E-2</v>
      </c>
    </row>
    <row r="54" spans="1:2" x14ac:dyDescent="0.3">
      <c r="A54" s="2">
        <v>9.1999999999999993</v>
      </c>
      <c r="B54" s="2">
        <f t="shared" si="0"/>
        <v>-6.8322910687502597E-2</v>
      </c>
    </row>
    <row r="55" spans="1:2" x14ac:dyDescent="0.3">
      <c r="A55" s="2">
        <v>9.4</v>
      </c>
      <c r="B55" s="2">
        <f t="shared" si="0"/>
        <v>-1.1943441824528315E-2</v>
      </c>
    </row>
    <row r="56" spans="1:2" x14ac:dyDescent="0.3">
      <c r="A56" s="2">
        <v>9.6</v>
      </c>
      <c r="B56" s="2">
        <f t="shared" si="0"/>
        <v>4.9056266056735832E-2</v>
      </c>
    </row>
    <row r="57" spans="1:2" x14ac:dyDescent="0.3">
      <c r="A57" s="2">
        <v>9.8000000000000007</v>
      </c>
      <c r="B57" s="2">
        <f t="shared" si="0"/>
        <v>9.1078891966411446E-2</v>
      </c>
    </row>
    <row r="58" spans="1:2" x14ac:dyDescent="0.3">
      <c r="A58" s="2">
        <v>10</v>
      </c>
      <c r="B58" s="2">
        <f t="shared" si="0"/>
        <v>9.7868269655989173E-2</v>
      </c>
    </row>
  </sheetData>
  <mergeCells count="2">
    <mergeCell ref="A1:C1"/>
    <mergeCell ref="E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математический маятник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Кочеткова</dc:creator>
  <cp:lastModifiedBy>Kanoo</cp:lastModifiedBy>
  <dcterms:created xsi:type="dcterms:W3CDTF">2015-06-05T18:19:34Z</dcterms:created>
  <dcterms:modified xsi:type="dcterms:W3CDTF">2022-11-30T08:50:13Z</dcterms:modified>
</cp:coreProperties>
</file>