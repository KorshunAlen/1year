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4\"/>
    </mc:Choice>
  </mc:AlternateContent>
  <xr:revisionPtr revIDLastSave="0" documentId="13_ncr:1_{84897CEC-9786-4BF5-8124-D956DF316B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1" l="1"/>
  <c r="G43" i="1"/>
  <c r="B47" i="1" s="1"/>
  <c r="C48" i="1" s="1"/>
  <c r="C38" i="1"/>
</calcChain>
</file>

<file path=xl/sharedStrings.xml><?xml version="1.0" encoding="utf-8"?>
<sst xmlns="http://schemas.openxmlformats.org/spreadsheetml/2006/main" count="32" uniqueCount="31">
  <si>
    <t>Определение циклической частоты колебания тела на пружине</t>
  </si>
  <si>
    <t>Выполнили: Гиниятуллина Ю.С., Гумирова А.А.</t>
  </si>
  <si>
    <t>1 эксперимент</t>
  </si>
  <si>
    <r>
      <rPr>
        <sz val="11"/>
        <color rgb="FF000000"/>
        <rFont val="Calibri"/>
        <family val="2"/>
        <charset val="204"/>
      </rPr>
      <t>∆</t>
    </r>
    <r>
      <rPr>
        <sz val="11"/>
        <color rgb="FF000000"/>
        <rFont val="Calibri"/>
        <family val="2"/>
        <charset val="1"/>
      </rPr>
      <t>m</t>
    </r>
    <r>
      <rPr>
        <sz val="11"/>
        <color rgb="FF000000"/>
        <rFont val="Calibri"/>
        <family val="2"/>
        <charset val="204"/>
      </rPr>
      <t>, кг</t>
    </r>
  </si>
  <si>
    <t>x нач.</t>
  </si>
  <si>
    <t>x кон.</t>
  </si>
  <si>
    <r>
      <rPr>
        <sz val="11"/>
        <color rgb="FF000000"/>
        <rFont val="Calibri"/>
        <family val="2"/>
        <charset val="204"/>
      </rPr>
      <t>∆</t>
    </r>
    <r>
      <rPr>
        <sz val="11"/>
        <color rgb="FF000000"/>
        <rFont val="Calibri"/>
        <family val="2"/>
        <charset val="1"/>
      </rPr>
      <t>x</t>
    </r>
    <r>
      <rPr>
        <sz val="11"/>
        <color rgb="FF000000"/>
        <rFont val="Calibri"/>
        <family val="2"/>
        <charset val="204"/>
      </rPr>
      <t>,м</t>
    </r>
  </si>
  <si>
    <t>∆mg=k∆x→ ∆x=g/k*∆m→ g/k= 0,2962</t>
  </si>
  <si>
    <t>g=</t>
  </si>
  <si>
    <t>Н/кг</t>
  </si>
  <si>
    <t>k=</t>
  </si>
  <si>
    <t>g/0,2962=</t>
  </si>
  <si>
    <t>Н/м</t>
  </si>
  <si>
    <t>2 эксперимент</t>
  </si>
  <si>
    <t>m(кг)</t>
  </si>
  <si>
    <t>t1(с)</t>
  </si>
  <si>
    <t>t2(с)</t>
  </si>
  <si>
    <t>t3(с)</t>
  </si>
  <si>
    <t>t4(с)</t>
  </si>
  <si>
    <t>t5(с)</t>
  </si>
  <si>
    <t>tср(с)</t>
  </si>
  <si>
    <t>N</t>
  </si>
  <si>
    <t>N — количество колебаний</t>
  </si>
  <si>
    <r>
      <rPr>
        <sz val="11"/>
        <color rgb="FF000000"/>
        <rFont val="Calibri"/>
        <family val="2"/>
        <charset val="204"/>
      </rPr>
      <t>ω</t>
    </r>
    <r>
      <rPr>
        <sz val="11"/>
        <color rgb="FF000000"/>
        <rFont val="Calibri"/>
        <family val="2"/>
        <charset val="1"/>
      </rPr>
      <t>теор.=</t>
    </r>
  </si>
  <si>
    <t>sqrt(k/m)</t>
  </si>
  <si>
    <t>Гц</t>
  </si>
  <si>
    <t>T=t/N=</t>
  </si>
  <si>
    <t>с</t>
  </si>
  <si>
    <t>ωэкспери.</t>
  </si>
  <si>
    <t>2П/T=</t>
  </si>
  <si>
    <t xml:space="preserve">Вывод: Наша теоретическая частота  от практической, т. к. возможны неточности при измерении времени, массы объекта и т.д.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</si>
</sst>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5401430149409897E-2"/>
          <c:y val="7.0017052863877993E-2"/>
          <c:w val="0.81832451601651102"/>
          <c:h val="0.86959574681512697"/>
        </c:manualLayout>
      </c:layout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 cap="rnd">
                <a:solidFill>
                  <a:srgbClr val="FF0000"/>
                </a:solidFill>
                <a:prstDash val="sysDot"/>
                <a:round/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Лист1!$A$6:$A$11</c:f>
              <c:numCache>
                <c:formatCode>General</c:formatCode>
                <c:ptCount val="6"/>
                <c:pt idx="0">
                  <c:v>0</c:v>
                </c:pt>
                <c:pt idx="1">
                  <c:v>2.8299999999999999E-2</c:v>
                </c:pt>
                <c:pt idx="2">
                  <c:v>4.8300000000000003E-2</c:v>
                </c:pt>
                <c:pt idx="3">
                  <c:v>5.8299999999999998E-2</c:v>
                </c:pt>
                <c:pt idx="4">
                  <c:v>7.8299999999999995E-2</c:v>
                </c:pt>
                <c:pt idx="5">
                  <c:v>0.10829999999999999</c:v>
                </c:pt>
              </c:numCache>
            </c:numRef>
          </c:xVal>
          <c:yVal>
            <c:numRef>
              <c:f>Лист1!$D$6:$D$11</c:f>
              <c:numCache>
                <c:formatCode>General</c:formatCode>
                <c:ptCount val="6"/>
                <c:pt idx="0">
                  <c:v>0</c:v>
                </c:pt>
                <c:pt idx="1">
                  <c:v>4.0000000000000001E-3</c:v>
                </c:pt>
                <c:pt idx="2">
                  <c:v>1.0999999999999999E-2</c:v>
                </c:pt>
                <c:pt idx="3">
                  <c:v>1.4E-2</c:v>
                </c:pt>
                <c:pt idx="4">
                  <c:v>2.1000000000000001E-2</c:v>
                </c:pt>
                <c:pt idx="5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63-46EF-9A35-5FFDB3D4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7880"/>
        <c:axId val="45367653"/>
      </c:scatterChart>
      <c:valAx>
        <c:axId val="281788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ru-RU" sz="105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50" b="0" strike="noStrike" spc="-1">
                    <a:solidFill>
                      <a:srgbClr val="000000"/>
                    </a:solidFill>
                    <a:latin typeface="Calibri"/>
                  </a:rPr>
                  <a:t>∆m, кг</a:t>
                </a:r>
              </a:p>
            </c:rich>
          </c:tx>
          <c:layout>
            <c:manualLayout>
              <c:xMode val="edge"/>
              <c:yMode val="edge"/>
              <c:x val="0.84686936805999702"/>
              <c:y val="0.8759153375463939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out"/>
        <c:tickLblPos val="nextTo"/>
        <c:spPr>
          <a:ln w="19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45367653"/>
        <c:crosses val="autoZero"/>
        <c:crossBetween val="midCat"/>
      </c:valAx>
      <c:valAx>
        <c:axId val="453676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ru-RU" sz="105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50" b="0" strike="noStrike" spc="-1">
                    <a:solidFill>
                      <a:srgbClr val="000000"/>
                    </a:solidFill>
                    <a:latin typeface="Calibri"/>
                  </a:rPr>
                  <a:t>∆x, м</a:t>
                </a:r>
              </a:p>
            </c:rich>
          </c:tx>
          <c:layout>
            <c:manualLayout>
              <c:xMode val="edge"/>
              <c:yMode val="edge"/>
              <c:x val="0.106331027265857"/>
              <c:y val="6.7709900692145705E-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out"/>
        <c:tickLblPos val="nextTo"/>
        <c:spPr>
          <a:ln w="19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28178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8640</xdr:rowOff>
    </xdr:from>
    <xdr:to>
      <xdr:col>10</xdr:col>
      <xdr:colOff>235800</xdr:colOff>
      <xdr:row>32</xdr:row>
      <xdr:rowOff>91800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Normal="100" workbookViewId="0">
      <selection activeCell="P12" sqref="P12"/>
    </sheetView>
  </sheetViews>
  <sheetFormatPr defaultColWidth="8.44140625" defaultRowHeight="14.4" x14ac:dyDescent="0.3"/>
  <sheetData>
    <row r="1" spans="1:14" ht="18" x14ac:dyDescent="0.35">
      <c r="F1" s="3" t="s">
        <v>0</v>
      </c>
      <c r="G1" s="3"/>
      <c r="H1" s="3"/>
      <c r="I1" s="3"/>
      <c r="J1" s="3"/>
      <c r="K1" s="3"/>
      <c r="L1" s="3"/>
      <c r="M1" s="3"/>
      <c r="N1" s="3"/>
    </row>
    <row r="2" spans="1:14" x14ac:dyDescent="0.3">
      <c r="A2" s="2" t="s">
        <v>1</v>
      </c>
      <c r="B2" s="2"/>
      <c r="C2" s="2"/>
      <c r="D2" s="2"/>
      <c r="E2" s="2"/>
      <c r="F2" s="2"/>
      <c r="G2" s="2"/>
    </row>
    <row r="4" spans="1:14" x14ac:dyDescent="0.3">
      <c r="A4" t="s">
        <v>2</v>
      </c>
    </row>
    <row r="5" spans="1:1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14" x14ac:dyDescent="0.3">
      <c r="A6" s="5">
        <v>0</v>
      </c>
      <c r="B6" s="5">
        <v>5.8000000000000003E-2</v>
      </c>
      <c r="C6" s="5">
        <v>5.8000000000000003E-2</v>
      </c>
      <c r="D6" s="5">
        <v>0</v>
      </c>
    </row>
    <row r="7" spans="1:14" x14ac:dyDescent="0.3">
      <c r="A7" s="5">
        <v>2.8299999999999999E-2</v>
      </c>
      <c r="B7" s="5">
        <v>5.8000000000000003E-2</v>
      </c>
      <c r="C7" s="5">
        <v>6.2E-2</v>
      </c>
      <c r="D7" s="5">
        <v>4.0000000000000001E-3</v>
      </c>
    </row>
    <row r="8" spans="1:14" x14ac:dyDescent="0.3">
      <c r="A8" s="5">
        <v>4.8300000000000003E-2</v>
      </c>
      <c r="B8" s="5">
        <v>5.8000000000000003E-2</v>
      </c>
      <c r="C8" s="5">
        <v>6.9000000000000006E-2</v>
      </c>
      <c r="D8" s="5">
        <v>1.0999999999999999E-2</v>
      </c>
    </row>
    <row r="9" spans="1:14" x14ac:dyDescent="0.3">
      <c r="A9" s="5">
        <v>5.8299999999999998E-2</v>
      </c>
      <c r="B9" s="5">
        <v>5.8000000000000003E-2</v>
      </c>
      <c r="C9" s="5">
        <v>7.1999999999999995E-2</v>
      </c>
      <c r="D9" s="5">
        <v>1.4E-2</v>
      </c>
    </row>
    <row r="10" spans="1:14" x14ac:dyDescent="0.3">
      <c r="A10" s="5">
        <v>7.8299999999999995E-2</v>
      </c>
      <c r="B10" s="5">
        <v>5.8000000000000003E-2</v>
      </c>
      <c r="C10" s="5">
        <v>7.9000000000000001E-2</v>
      </c>
      <c r="D10" s="5">
        <v>2.1000000000000001E-2</v>
      </c>
    </row>
    <row r="11" spans="1:14" x14ac:dyDescent="0.3">
      <c r="A11" s="5">
        <v>0.10829999999999999</v>
      </c>
      <c r="B11" s="5">
        <v>5.8000000000000003E-2</v>
      </c>
      <c r="C11" s="5">
        <v>8.8999999999999996E-2</v>
      </c>
      <c r="D11" s="5">
        <v>3.1E-2</v>
      </c>
    </row>
    <row r="35" spans="1:12" x14ac:dyDescent="0.3">
      <c r="A35" s="6" t="s">
        <v>7</v>
      </c>
    </row>
    <row r="37" spans="1:12" x14ac:dyDescent="0.3">
      <c r="A37" s="7" t="s">
        <v>8</v>
      </c>
      <c r="B37">
        <v>9.81</v>
      </c>
      <c r="D37" t="s">
        <v>9</v>
      </c>
    </row>
    <row r="38" spans="1:12" x14ac:dyDescent="0.3">
      <c r="A38" s="7" t="s">
        <v>10</v>
      </c>
      <c r="B38" t="s">
        <v>11</v>
      </c>
      <c r="C38">
        <f>B37/0.2962</f>
        <v>33.119513841998646</v>
      </c>
      <c r="D38" t="s">
        <v>12</v>
      </c>
    </row>
    <row r="40" spans="1:12" x14ac:dyDescent="0.3">
      <c r="A40" t="s">
        <v>13</v>
      </c>
    </row>
    <row r="42" spans="1:12" x14ac:dyDescent="0.3">
      <c r="A42" s="8" t="s">
        <v>14</v>
      </c>
      <c r="B42" s="8" t="s">
        <v>15</v>
      </c>
      <c r="C42" s="8" t="s">
        <v>16</v>
      </c>
      <c r="D42" s="8" t="s">
        <v>17</v>
      </c>
      <c r="E42" s="8" t="s">
        <v>18</v>
      </c>
      <c r="F42" s="8" t="s">
        <v>19</v>
      </c>
      <c r="G42" s="8" t="s">
        <v>20</v>
      </c>
      <c r="H42" s="8" t="s">
        <v>21</v>
      </c>
      <c r="J42" s="2" t="s">
        <v>22</v>
      </c>
      <c r="K42" s="2"/>
      <c r="L42" s="2"/>
    </row>
    <row r="43" spans="1:12" x14ac:dyDescent="0.3">
      <c r="A43" s="5">
        <v>0.10829999999999999</v>
      </c>
      <c r="B43" s="5">
        <v>20.82</v>
      </c>
      <c r="C43" s="5">
        <v>20.8</v>
      </c>
      <c r="D43" s="5">
        <v>20.71</v>
      </c>
      <c r="E43" s="5">
        <v>20.84</v>
      </c>
      <c r="F43" s="5">
        <v>20.63</v>
      </c>
      <c r="G43" s="5">
        <f>AVERAGE(B43:F43)</f>
        <v>20.759999999999998</v>
      </c>
      <c r="H43" s="5">
        <v>50</v>
      </c>
    </row>
    <row r="45" spans="1:12" x14ac:dyDescent="0.3">
      <c r="A45" s="6" t="s">
        <v>23</v>
      </c>
      <c r="B45" t="s">
        <v>24</v>
      </c>
      <c r="C45">
        <f>SQRT(C38/A43)</f>
        <v>17.487500836931687</v>
      </c>
      <c r="D45" t="s">
        <v>25</v>
      </c>
    </row>
    <row r="47" spans="1:12" x14ac:dyDescent="0.3">
      <c r="A47" t="s">
        <v>26</v>
      </c>
      <c r="B47">
        <f>G43/H43</f>
        <v>0.41519999999999996</v>
      </c>
      <c r="C47" t="s">
        <v>27</v>
      </c>
    </row>
    <row r="48" spans="1:12" x14ac:dyDescent="0.3">
      <c r="A48" t="s">
        <v>28</v>
      </c>
      <c r="B48" t="s">
        <v>29</v>
      </c>
      <c r="C48">
        <f>2*PI()/B47</f>
        <v>15.132912589546212</v>
      </c>
      <c r="D48" t="s">
        <v>25</v>
      </c>
    </row>
    <row r="50" spans="1:19" x14ac:dyDescent="0.3">
      <c r="A50" s="1" t="s">
        <v>30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mergeCells count="4">
    <mergeCell ref="F1:N1"/>
    <mergeCell ref="A2:G2"/>
    <mergeCell ref="J42:L42"/>
    <mergeCell ref="A50:S5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Kanoo</dc:creator>
  <dc:description/>
  <cp:lastModifiedBy>Kanoo</cp:lastModifiedBy>
  <cp:revision>2</cp:revision>
  <dcterms:created xsi:type="dcterms:W3CDTF">2015-06-05T18:19:34Z</dcterms:created>
  <dcterms:modified xsi:type="dcterms:W3CDTF">2022-11-23T20:30:55Z</dcterms:modified>
  <dc:language>ru-RU</dc:language>
</cp:coreProperties>
</file>