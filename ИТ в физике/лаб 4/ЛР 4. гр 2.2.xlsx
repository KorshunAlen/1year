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oo\Desktop\Алёна\ИТ в физике\лаба 4\"/>
    </mc:Choice>
  </mc:AlternateContent>
  <xr:revisionPtr revIDLastSave="0" documentId="13_ncr:1_{B244E5CC-2E99-43A0-8EEA-8F24AB2E5B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" i="1"/>
  <c r="I2" i="1"/>
  <c r="A3" i="1" s="1"/>
  <c r="E2" i="1"/>
  <c r="H2" i="1" l="1"/>
  <c r="C3" i="1" s="1"/>
  <c r="A4" i="1"/>
  <c r="B3" i="1" l="1"/>
  <c r="C2" i="1"/>
  <c r="B4" i="1"/>
  <c r="C4" i="1"/>
  <c r="A5" i="1"/>
  <c r="B5" i="1" s="1"/>
  <c r="C5" i="1" l="1"/>
  <c r="A6" i="1"/>
  <c r="B6" i="1" l="1"/>
  <c r="C6" i="1"/>
  <c r="A7" i="1"/>
  <c r="C7" i="1" s="1"/>
  <c r="B7" i="1" l="1"/>
  <c r="A8" i="1"/>
  <c r="C8" i="1" s="1"/>
  <c r="B8" i="1" l="1"/>
  <c r="A9" i="1"/>
  <c r="C9" i="1" s="1"/>
  <c r="B9" i="1" l="1"/>
  <c r="A10" i="1"/>
  <c r="C10" i="1" s="1"/>
  <c r="B10" i="1" l="1"/>
  <c r="A11" i="1"/>
  <c r="C11" i="1" s="1"/>
  <c r="B11" i="1" l="1"/>
  <c r="A12" i="1"/>
  <c r="C12" i="1" s="1"/>
  <c r="B12" i="1" l="1"/>
  <c r="A13" i="1"/>
  <c r="C13" i="1" s="1"/>
  <c r="B13" i="1" l="1"/>
  <c r="A14" i="1"/>
  <c r="C14" i="1" s="1"/>
  <c r="B14" i="1" l="1"/>
  <c r="A15" i="1"/>
  <c r="C15" i="1" s="1"/>
  <c r="B15" i="1" l="1"/>
  <c r="A16" i="1"/>
  <c r="C16" i="1" s="1"/>
  <c r="B16" i="1" l="1"/>
  <c r="A17" i="1"/>
  <c r="C17" i="1" s="1"/>
  <c r="B17" i="1" l="1"/>
  <c r="A18" i="1"/>
  <c r="C18" i="1" s="1"/>
  <c r="B18" i="1" l="1"/>
  <c r="A19" i="1"/>
  <c r="C19" i="1" s="1"/>
  <c r="B19" i="1" l="1"/>
  <c r="A20" i="1"/>
  <c r="C20" i="1" s="1"/>
  <c r="B20" i="1" l="1"/>
  <c r="A21" i="1"/>
  <c r="C21" i="1" s="1"/>
  <c r="B21" i="1" l="1"/>
  <c r="A22" i="1"/>
  <c r="C22" i="1" s="1"/>
  <c r="B22" i="1" l="1"/>
  <c r="A23" i="1"/>
  <c r="C23" i="1" s="1"/>
  <c r="B23" i="1" l="1"/>
  <c r="A24" i="1"/>
  <c r="C24" i="1" s="1"/>
  <c r="B24" i="1" l="1"/>
  <c r="A25" i="1"/>
  <c r="C25" i="1" s="1"/>
  <c r="B25" i="1" l="1"/>
  <c r="A26" i="1"/>
  <c r="C26" i="1" s="1"/>
  <c r="B26" i="1" l="1"/>
  <c r="A27" i="1"/>
  <c r="C27" i="1" s="1"/>
  <c r="B27" i="1" l="1"/>
  <c r="A28" i="1"/>
  <c r="C28" i="1" s="1"/>
  <c r="B28" i="1" l="1"/>
  <c r="A29" i="1"/>
  <c r="C29" i="1" s="1"/>
  <c r="B29" i="1" l="1"/>
  <c r="A30" i="1"/>
  <c r="C30" i="1" s="1"/>
  <c r="B30" i="1" l="1"/>
  <c r="A31" i="1"/>
  <c r="C31" i="1" s="1"/>
  <c r="B31" i="1" l="1"/>
  <c r="A32" i="1"/>
  <c r="C32" i="1" s="1"/>
  <c r="B32" i="1" l="1"/>
  <c r="A33" i="1"/>
  <c r="C33" i="1" s="1"/>
  <c r="B33" i="1" l="1"/>
  <c r="A34" i="1"/>
  <c r="C34" i="1" s="1"/>
  <c r="B34" i="1" l="1"/>
  <c r="A35" i="1"/>
  <c r="C35" i="1" s="1"/>
  <c r="B35" i="1" l="1"/>
  <c r="A36" i="1"/>
  <c r="C36" i="1" s="1"/>
  <c r="B36" i="1" l="1"/>
  <c r="A37" i="1"/>
  <c r="C37" i="1" s="1"/>
  <c r="B37" i="1" l="1"/>
  <c r="A38" i="1"/>
  <c r="C38" i="1" s="1"/>
  <c r="B38" i="1" l="1"/>
  <c r="A39" i="1"/>
  <c r="C39" i="1" s="1"/>
  <c r="B39" i="1" l="1"/>
  <c r="A40" i="1"/>
  <c r="C40" i="1" s="1"/>
  <c r="B40" i="1" l="1"/>
  <c r="A41" i="1"/>
  <c r="C41" i="1" s="1"/>
  <c r="B41" i="1" l="1"/>
  <c r="A42" i="1"/>
  <c r="C42" i="1" s="1"/>
  <c r="B42" i="1" l="1"/>
  <c r="A43" i="1"/>
  <c r="C43" i="1" s="1"/>
  <c r="B43" i="1" l="1"/>
  <c r="A44" i="1"/>
  <c r="C44" i="1" s="1"/>
  <c r="B44" i="1" l="1"/>
  <c r="A45" i="1"/>
  <c r="C45" i="1" s="1"/>
  <c r="B45" i="1" l="1"/>
  <c r="A46" i="1"/>
  <c r="C46" i="1" s="1"/>
  <c r="B46" i="1" l="1"/>
  <c r="A47" i="1"/>
  <c r="C47" i="1" s="1"/>
  <c r="B47" i="1" l="1"/>
  <c r="A48" i="1"/>
  <c r="C48" i="1" s="1"/>
  <c r="B48" i="1" l="1"/>
  <c r="A49" i="1"/>
  <c r="C49" i="1" s="1"/>
  <c r="B49" i="1" l="1"/>
  <c r="A50" i="1"/>
  <c r="C50" i="1" s="1"/>
  <c r="B50" i="1" l="1"/>
  <c r="A51" i="1"/>
  <c r="C51" i="1" s="1"/>
  <c r="B51" i="1" l="1"/>
  <c r="A52" i="1"/>
  <c r="C52" i="1" s="1"/>
  <c r="B52" i="1" l="1"/>
  <c r="A53" i="1"/>
  <c r="C53" i="1" s="1"/>
  <c r="B53" i="1" l="1"/>
  <c r="A54" i="1"/>
  <c r="C54" i="1" s="1"/>
  <c r="B54" i="1" l="1"/>
  <c r="A55" i="1"/>
  <c r="C55" i="1" s="1"/>
  <c r="B55" i="1" l="1"/>
  <c r="A56" i="1"/>
  <c r="C56" i="1" s="1"/>
  <c r="B56" i="1" l="1"/>
  <c r="A57" i="1"/>
  <c r="C57" i="1" s="1"/>
  <c r="B57" i="1" l="1"/>
  <c r="A58" i="1"/>
  <c r="C58" i="1" s="1"/>
  <c r="B58" i="1" l="1"/>
  <c r="A59" i="1"/>
  <c r="C59" i="1" s="1"/>
  <c r="B59" i="1" l="1"/>
  <c r="A60" i="1"/>
  <c r="C60" i="1" s="1"/>
  <c r="B60" i="1" l="1"/>
  <c r="A61" i="1"/>
  <c r="C61" i="1" s="1"/>
  <c r="B61" i="1" l="1"/>
  <c r="A62" i="1"/>
  <c r="C62" i="1" s="1"/>
  <c r="B62" i="1" l="1"/>
  <c r="A63" i="1"/>
  <c r="C63" i="1" s="1"/>
  <c r="B63" i="1" l="1"/>
  <c r="A64" i="1"/>
  <c r="C64" i="1" s="1"/>
  <c r="B64" i="1" l="1"/>
  <c r="A65" i="1"/>
  <c r="C65" i="1" s="1"/>
  <c r="B65" i="1" l="1"/>
  <c r="A66" i="1"/>
  <c r="C66" i="1" s="1"/>
  <c r="B66" i="1" l="1"/>
  <c r="A67" i="1"/>
  <c r="C67" i="1" s="1"/>
  <c r="B67" i="1" l="1"/>
  <c r="A68" i="1"/>
  <c r="C68" i="1" s="1"/>
  <c r="B68" i="1" l="1"/>
  <c r="A69" i="1"/>
  <c r="C69" i="1" s="1"/>
  <c r="B69" i="1" l="1"/>
  <c r="A70" i="1"/>
  <c r="C70" i="1" s="1"/>
  <c r="B70" i="1" l="1"/>
  <c r="A71" i="1"/>
  <c r="C71" i="1" s="1"/>
  <c r="B71" i="1" l="1"/>
  <c r="A72" i="1"/>
  <c r="C72" i="1" s="1"/>
  <c r="B72" i="1" l="1"/>
  <c r="A73" i="1"/>
  <c r="C73" i="1" s="1"/>
  <c r="B73" i="1" l="1"/>
  <c r="A74" i="1"/>
  <c r="C74" i="1" s="1"/>
  <c r="B74" i="1" l="1"/>
  <c r="A75" i="1"/>
  <c r="C75" i="1" s="1"/>
  <c r="B75" i="1" l="1"/>
  <c r="A76" i="1"/>
  <c r="C76" i="1" s="1"/>
  <c r="B76" i="1" l="1"/>
  <c r="A77" i="1"/>
  <c r="C77" i="1" s="1"/>
  <c r="B77" i="1" l="1"/>
  <c r="A78" i="1"/>
  <c r="C78" i="1" s="1"/>
  <c r="B78" i="1" l="1"/>
  <c r="A79" i="1"/>
  <c r="C79" i="1" s="1"/>
  <c r="B79" i="1" l="1"/>
  <c r="A80" i="1"/>
  <c r="C80" i="1" s="1"/>
  <c r="B80" i="1" l="1"/>
  <c r="A81" i="1"/>
  <c r="C81" i="1" s="1"/>
  <c r="B81" i="1" l="1"/>
  <c r="A82" i="1"/>
  <c r="C82" i="1" s="1"/>
  <c r="B82" i="1" l="1"/>
  <c r="A83" i="1"/>
  <c r="C83" i="1" s="1"/>
  <c r="B83" i="1" l="1"/>
  <c r="A84" i="1"/>
  <c r="C84" i="1" s="1"/>
  <c r="B84" i="1" l="1"/>
  <c r="A85" i="1"/>
  <c r="C85" i="1" s="1"/>
  <c r="B85" i="1" l="1"/>
  <c r="A86" i="1"/>
  <c r="C86" i="1" s="1"/>
  <c r="B86" i="1" l="1"/>
  <c r="A87" i="1"/>
  <c r="C87" i="1" s="1"/>
  <c r="B87" i="1" l="1"/>
  <c r="A88" i="1"/>
  <c r="C88" i="1" s="1"/>
  <c r="B88" i="1" l="1"/>
  <c r="A89" i="1"/>
  <c r="C89" i="1" s="1"/>
  <c r="B89" i="1" l="1"/>
  <c r="A90" i="1"/>
  <c r="C90" i="1" s="1"/>
  <c r="B90" i="1" l="1"/>
  <c r="A91" i="1"/>
  <c r="C91" i="1" s="1"/>
  <c r="B91" i="1" l="1"/>
  <c r="A92" i="1"/>
  <c r="C92" i="1" s="1"/>
  <c r="B92" i="1" l="1"/>
  <c r="A93" i="1"/>
  <c r="C93" i="1" s="1"/>
  <c r="B93" i="1" l="1"/>
  <c r="A94" i="1"/>
  <c r="C94" i="1" s="1"/>
  <c r="B94" i="1" l="1"/>
  <c r="A95" i="1"/>
  <c r="C95" i="1" s="1"/>
  <c r="B95" i="1" l="1"/>
  <c r="A96" i="1"/>
  <c r="C96" i="1" s="1"/>
  <c r="B96" i="1" l="1"/>
  <c r="A97" i="1"/>
  <c r="C97" i="1" s="1"/>
  <c r="B97" i="1" l="1"/>
  <c r="A98" i="1"/>
  <c r="C98" i="1" s="1"/>
  <c r="B98" i="1" l="1"/>
  <c r="A99" i="1"/>
  <c r="C99" i="1" s="1"/>
  <c r="B99" i="1" l="1"/>
  <c r="A100" i="1"/>
  <c r="C100" i="1" s="1"/>
  <c r="B100" i="1" l="1"/>
  <c r="A101" i="1"/>
  <c r="C101" i="1" s="1"/>
  <c r="B101" i="1" l="1"/>
  <c r="A102" i="1"/>
  <c r="C102" i="1" s="1"/>
  <c r="B102" i="1" l="1"/>
  <c r="A103" i="1"/>
  <c r="C103" i="1" s="1"/>
  <c r="B103" i="1" l="1"/>
  <c r="A104" i="1"/>
  <c r="C104" i="1" s="1"/>
  <c r="B104" i="1" l="1"/>
  <c r="A105" i="1"/>
  <c r="C105" i="1" s="1"/>
  <c r="B105" i="1" l="1"/>
  <c r="A106" i="1"/>
  <c r="C106" i="1" s="1"/>
  <c r="B106" i="1" l="1"/>
  <c r="A107" i="1"/>
  <c r="C107" i="1" s="1"/>
  <c r="B107" i="1" l="1"/>
  <c r="A108" i="1"/>
  <c r="C108" i="1" s="1"/>
  <c r="B108" i="1" l="1"/>
  <c r="A109" i="1"/>
  <c r="C109" i="1" s="1"/>
  <c r="B109" i="1" l="1"/>
  <c r="A110" i="1"/>
  <c r="C110" i="1" s="1"/>
  <c r="B110" i="1" l="1"/>
  <c r="A111" i="1"/>
  <c r="C111" i="1" s="1"/>
  <c r="B111" i="1" l="1"/>
  <c r="A112" i="1"/>
  <c r="C112" i="1" s="1"/>
  <c r="B112" i="1" l="1"/>
  <c r="A113" i="1"/>
  <c r="C113" i="1" s="1"/>
  <c r="B113" i="1" l="1"/>
  <c r="A114" i="1"/>
  <c r="C114" i="1" s="1"/>
  <c r="B114" i="1" l="1"/>
  <c r="A115" i="1"/>
  <c r="C115" i="1" s="1"/>
  <c r="B115" i="1" l="1"/>
  <c r="A116" i="1"/>
  <c r="C116" i="1" s="1"/>
  <c r="B116" i="1" l="1"/>
  <c r="A117" i="1"/>
  <c r="C117" i="1" s="1"/>
  <c r="B117" i="1" l="1"/>
  <c r="A118" i="1"/>
  <c r="C118" i="1" s="1"/>
  <c r="B118" i="1" l="1"/>
  <c r="A119" i="1"/>
  <c r="C119" i="1" s="1"/>
  <c r="B119" i="1" l="1"/>
  <c r="A120" i="1"/>
  <c r="C120" i="1" s="1"/>
  <c r="B120" i="1" l="1"/>
  <c r="A121" i="1"/>
  <c r="C121" i="1" s="1"/>
  <c r="B121" i="1" l="1"/>
  <c r="A122" i="1"/>
  <c r="C122" i="1" s="1"/>
  <c r="B122" i="1" l="1"/>
  <c r="A123" i="1"/>
  <c r="C123" i="1" s="1"/>
  <c r="B123" i="1" l="1"/>
  <c r="A124" i="1"/>
  <c r="C124" i="1" s="1"/>
  <c r="B124" i="1" l="1"/>
  <c r="A125" i="1"/>
  <c r="C125" i="1" s="1"/>
  <c r="B125" i="1" l="1"/>
  <c r="A126" i="1"/>
  <c r="C126" i="1" s="1"/>
  <c r="B126" i="1" l="1"/>
  <c r="A127" i="1"/>
  <c r="C127" i="1" s="1"/>
  <c r="B127" i="1" l="1"/>
  <c r="A128" i="1"/>
  <c r="C128" i="1" s="1"/>
  <c r="B128" i="1" l="1"/>
  <c r="A129" i="1"/>
  <c r="C129" i="1" s="1"/>
  <c r="B129" i="1" l="1"/>
  <c r="A130" i="1"/>
  <c r="C130" i="1" s="1"/>
  <c r="B130" i="1" l="1"/>
  <c r="A131" i="1"/>
  <c r="C131" i="1" s="1"/>
  <c r="B131" i="1" l="1"/>
  <c r="A132" i="1"/>
  <c r="C132" i="1" s="1"/>
  <c r="B132" i="1" l="1"/>
  <c r="A133" i="1"/>
  <c r="C133" i="1" s="1"/>
  <c r="B133" i="1" l="1"/>
  <c r="A134" i="1"/>
  <c r="C134" i="1" s="1"/>
  <c r="B134" i="1" l="1"/>
  <c r="A135" i="1"/>
  <c r="C135" i="1" s="1"/>
  <c r="B135" i="1" l="1"/>
  <c r="A136" i="1"/>
  <c r="C136" i="1" s="1"/>
  <c r="B136" i="1" l="1"/>
  <c r="A137" i="1"/>
  <c r="C137" i="1" s="1"/>
  <c r="B137" i="1" l="1"/>
  <c r="A138" i="1"/>
  <c r="C138" i="1" s="1"/>
  <c r="B138" i="1" l="1"/>
  <c r="A139" i="1"/>
  <c r="C139" i="1" s="1"/>
  <c r="B139" i="1" l="1"/>
  <c r="A140" i="1"/>
  <c r="C140" i="1" s="1"/>
  <c r="B140" i="1" l="1"/>
  <c r="A141" i="1"/>
  <c r="C141" i="1" s="1"/>
  <c r="B141" i="1" l="1"/>
  <c r="A142" i="1"/>
  <c r="C142" i="1" s="1"/>
  <c r="B142" i="1" l="1"/>
  <c r="A143" i="1"/>
  <c r="C143" i="1" s="1"/>
  <c r="B143" i="1" l="1"/>
  <c r="A144" i="1"/>
  <c r="C144" i="1" s="1"/>
  <c r="B144" i="1" l="1"/>
  <c r="A145" i="1"/>
  <c r="C145" i="1" s="1"/>
  <c r="B145" i="1" l="1"/>
  <c r="A146" i="1"/>
  <c r="C146" i="1" s="1"/>
  <c r="B146" i="1" l="1"/>
  <c r="A147" i="1"/>
  <c r="C147" i="1" s="1"/>
  <c r="B147" i="1" l="1"/>
  <c r="A148" i="1"/>
  <c r="C148" i="1" s="1"/>
  <c r="B148" i="1" l="1"/>
  <c r="A149" i="1"/>
  <c r="C149" i="1" s="1"/>
  <c r="B149" i="1" l="1"/>
  <c r="A150" i="1"/>
  <c r="C150" i="1" s="1"/>
  <c r="B150" i="1" l="1"/>
  <c r="A151" i="1"/>
  <c r="C151" i="1" s="1"/>
  <c r="B151" i="1" l="1"/>
  <c r="A152" i="1"/>
  <c r="C152" i="1" s="1"/>
  <c r="B152" i="1" l="1"/>
  <c r="A153" i="1"/>
  <c r="C153" i="1" s="1"/>
  <c r="B153" i="1" l="1"/>
  <c r="A154" i="1"/>
  <c r="C154" i="1" s="1"/>
  <c r="B154" i="1" l="1"/>
  <c r="A155" i="1"/>
  <c r="C155" i="1" s="1"/>
  <c r="B155" i="1" l="1"/>
  <c r="A156" i="1"/>
  <c r="C156" i="1" s="1"/>
  <c r="B156" i="1" l="1"/>
  <c r="A157" i="1"/>
  <c r="C157" i="1" s="1"/>
  <c r="B157" i="1" l="1"/>
  <c r="A158" i="1"/>
  <c r="C158" i="1" s="1"/>
  <c r="B158" i="1" l="1"/>
  <c r="A159" i="1"/>
  <c r="C159" i="1" s="1"/>
  <c r="B159" i="1" l="1"/>
  <c r="A160" i="1"/>
  <c r="C160" i="1" s="1"/>
  <c r="B160" i="1" l="1"/>
  <c r="A161" i="1"/>
  <c r="C161" i="1" s="1"/>
  <c r="B161" i="1" l="1"/>
  <c r="A162" i="1"/>
  <c r="C162" i="1" s="1"/>
  <c r="B162" i="1" l="1"/>
  <c r="A163" i="1"/>
  <c r="C163" i="1" s="1"/>
  <c r="B163" i="1" l="1"/>
  <c r="A164" i="1"/>
  <c r="C164" i="1" s="1"/>
  <c r="B164" i="1" l="1"/>
  <c r="A165" i="1"/>
  <c r="C165" i="1" s="1"/>
  <c r="B165" i="1" l="1"/>
  <c r="A166" i="1"/>
  <c r="C166" i="1" s="1"/>
  <c r="B166" i="1" l="1"/>
  <c r="A167" i="1"/>
  <c r="C167" i="1" s="1"/>
  <c r="B167" i="1" l="1"/>
  <c r="A168" i="1"/>
  <c r="C168" i="1" s="1"/>
  <c r="B168" i="1" l="1"/>
  <c r="A169" i="1"/>
  <c r="C169" i="1" s="1"/>
  <c r="B169" i="1" l="1"/>
  <c r="A170" i="1"/>
  <c r="C170" i="1" s="1"/>
  <c r="B170" i="1" l="1"/>
  <c r="A171" i="1"/>
  <c r="C171" i="1" s="1"/>
  <c r="B171" i="1" l="1"/>
  <c r="A172" i="1"/>
  <c r="C172" i="1" s="1"/>
  <c r="B172" i="1" l="1"/>
  <c r="A173" i="1"/>
  <c r="C173" i="1" s="1"/>
  <c r="B173" i="1" l="1"/>
  <c r="A174" i="1"/>
  <c r="C174" i="1" s="1"/>
  <c r="B174" i="1" l="1"/>
  <c r="A175" i="1"/>
  <c r="C175" i="1" s="1"/>
  <c r="B175" i="1" l="1"/>
  <c r="A176" i="1"/>
  <c r="C176" i="1" s="1"/>
  <c r="B176" i="1" l="1"/>
  <c r="A177" i="1"/>
  <c r="C177" i="1" s="1"/>
  <c r="B177" i="1" l="1"/>
  <c r="A178" i="1"/>
  <c r="C178" i="1" s="1"/>
  <c r="B178" i="1" l="1"/>
  <c r="A179" i="1"/>
  <c r="C179" i="1" s="1"/>
  <c r="B179" i="1" l="1"/>
  <c r="A180" i="1"/>
  <c r="C180" i="1" s="1"/>
  <c r="B180" i="1" l="1"/>
  <c r="A181" i="1"/>
  <c r="C181" i="1" s="1"/>
  <c r="B181" i="1" l="1"/>
  <c r="A182" i="1"/>
  <c r="C182" i="1" s="1"/>
  <c r="B182" i="1" l="1"/>
  <c r="A183" i="1"/>
  <c r="C183" i="1" s="1"/>
  <c r="B183" i="1" l="1"/>
  <c r="A184" i="1"/>
  <c r="C184" i="1" s="1"/>
  <c r="B184" i="1" l="1"/>
  <c r="A185" i="1"/>
  <c r="C185" i="1" s="1"/>
  <c r="B185" i="1" l="1"/>
  <c r="A186" i="1"/>
  <c r="C186" i="1" s="1"/>
  <c r="B186" i="1" l="1"/>
  <c r="A187" i="1"/>
  <c r="C187" i="1" s="1"/>
  <c r="B187" i="1" l="1"/>
  <c r="A188" i="1"/>
  <c r="C188" i="1" s="1"/>
  <c r="B188" i="1" l="1"/>
  <c r="A189" i="1"/>
  <c r="C189" i="1" s="1"/>
  <c r="B189" i="1" l="1"/>
  <c r="A190" i="1"/>
  <c r="C190" i="1" s="1"/>
  <c r="B190" i="1" l="1"/>
  <c r="A191" i="1"/>
  <c r="C191" i="1" s="1"/>
  <c r="B191" i="1" l="1"/>
  <c r="A192" i="1"/>
  <c r="C192" i="1" s="1"/>
  <c r="B192" i="1" l="1"/>
  <c r="A193" i="1"/>
  <c r="C193" i="1" s="1"/>
  <c r="B193" i="1" l="1"/>
  <c r="A194" i="1"/>
  <c r="C194" i="1" s="1"/>
  <c r="B194" i="1" l="1"/>
  <c r="A195" i="1"/>
  <c r="C195" i="1" s="1"/>
  <c r="B195" i="1" l="1"/>
  <c r="A196" i="1"/>
  <c r="C196" i="1" s="1"/>
  <c r="B196" i="1" l="1"/>
  <c r="A197" i="1"/>
  <c r="C197" i="1" s="1"/>
  <c r="B197" i="1" l="1"/>
  <c r="A198" i="1"/>
  <c r="C198" i="1" s="1"/>
  <c r="B198" i="1" l="1"/>
  <c r="A199" i="1"/>
  <c r="C199" i="1" s="1"/>
  <c r="B199" i="1" l="1"/>
  <c r="A200" i="1"/>
  <c r="B200" i="1" l="1"/>
  <c r="C200" i="1"/>
</calcChain>
</file>

<file path=xl/sharedStrings.xml><?xml version="1.0" encoding="utf-8"?>
<sst xmlns="http://schemas.openxmlformats.org/spreadsheetml/2006/main" count="9" uniqueCount="9">
  <si>
    <t>t</t>
  </si>
  <si>
    <t>q(t)</t>
  </si>
  <si>
    <t>С</t>
  </si>
  <si>
    <t>E</t>
  </si>
  <si>
    <t>шаг t</t>
  </si>
  <si>
    <t>L</t>
  </si>
  <si>
    <t>w0</t>
  </si>
  <si>
    <t>I(t)</t>
  </si>
  <si>
    <t>U(t)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</si>
</sst>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0" fillId="2" borderId="2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График</a:t>
            </a:r>
            <a:r>
              <a:rPr lang="ru-RU" baseline="0"/>
              <a:t> зависимости заряда от времени</a:t>
            </a:r>
            <a:endParaRPr lang="ru-RU"/>
          </a:p>
        </c:rich>
      </c:tx>
      <c:layout>
        <c:manualLayout>
          <c:xMode val="edge"/>
          <c:yMode val="edge"/>
          <c:x val="0.12396419571059594"/>
          <c:y val="1.73724212812160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211351706036746"/>
          <c:y val="0.22954850513392666"/>
          <c:w val="0.84325459317585305"/>
          <c:h val="0.654055246351535"/>
        </c:manualLayout>
      </c:layout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Лист1!$A$2:$A$200</c:f>
              <c:numCache>
                <c:formatCode>General</c:formatCode>
                <c:ptCount val="199"/>
                <c:pt idx="0">
                  <c:v>0</c:v>
                </c:pt>
                <c:pt idx="1">
                  <c:v>1.0471975511965977E-4</c:v>
                </c:pt>
                <c:pt idx="2">
                  <c:v>2.0943951023931953E-4</c:v>
                </c:pt>
                <c:pt idx="3">
                  <c:v>3.1415926535897931E-4</c:v>
                </c:pt>
                <c:pt idx="4">
                  <c:v>4.1887902047863906E-4</c:v>
                </c:pt>
                <c:pt idx="5">
                  <c:v>5.2359877559829881E-4</c:v>
                </c:pt>
                <c:pt idx="6">
                  <c:v>6.2831853071795862E-4</c:v>
                </c:pt>
                <c:pt idx="7">
                  <c:v>7.3303828583761842E-4</c:v>
                </c:pt>
                <c:pt idx="8">
                  <c:v>8.3775804095727823E-4</c:v>
                </c:pt>
                <c:pt idx="9">
                  <c:v>9.4247779607693804E-4</c:v>
                </c:pt>
                <c:pt idx="10">
                  <c:v>1.0471975511965978E-3</c:v>
                </c:pt>
                <c:pt idx="11">
                  <c:v>1.1519173063162576E-3</c:v>
                </c:pt>
                <c:pt idx="12">
                  <c:v>1.2566370614359175E-3</c:v>
                </c:pt>
                <c:pt idx="13">
                  <c:v>1.3613568165555773E-3</c:v>
                </c:pt>
                <c:pt idx="14">
                  <c:v>1.4660765716752371E-3</c:v>
                </c:pt>
                <c:pt idx="15">
                  <c:v>1.5707963267948969E-3</c:v>
                </c:pt>
                <c:pt idx="16">
                  <c:v>1.6755160819145567E-3</c:v>
                </c:pt>
                <c:pt idx="17">
                  <c:v>1.7802358370342165E-3</c:v>
                </c:pt>
                <c:pt idx="18">
                  <c:v>1.8849555921538763E-3</c:v>
                </c:pt>
                <c:pt idx="19">
                  <c:v>1.9896753472735361E-3</c:v>
                </c:pt>
                <c:pt idx="20">
                  <c:v>2.0943951023931957E-3</c:v>
                </c:pt>
                <c:pt idx="21">
                  <c:v>2.1991148575128553E-3</c:v>
                </c:pt>
                <c:pt idx="22">
                  <c:v>2.3038346126325149E-3</c:v>
                </c:pt>
                <c:pt idx="23">
                  <c:v>2.4085543677521744E-3</c:v>
                </c:pt>
                <c:pt idx="24">
                  <c:v>2.513274122871834E-3</c:v>
                </c:pt>
                <c:pt idx="25">
                  <c:v>2.6179938779914936E-3</c:v>
                </c:pt>
                <c:pt idx="26">
                  <c:v>2.7227136331111532E-3</c:v>
                </c:pt>
                <c:pt idx="27">
                  <c:v>2.8274333882308128E-3</c:v>
                </c:pt>
                <c:pt idx="28">
                  <c:v>2.9321531433504724E-3</c:v>
                </c:pt>
                <c:pt idx="29">
                  <c:v>3.036872898470132E-3</c:v>
                </c:pt>
                <c:pt idx="30">
                  <c:v>3.1415926535897916E-3</c:v>
                </c:pt>
                <c:pt idx="31">
                  <c:v>3.2463124087094512E-3</c:v>
                </c:pt>
                <c:pt idx="32">
                  <c:v>3.3510321638291108E-3</c:v>
                </c:pt>
                <c:pt idx="33">
                  <c:v>3.4557519189487703E-3</c:v>
                </c:pt>
                <c:pt idx="34">
                  <c:v>3.5604716740684299E-3</c:v>
                </c:pt>
                <c:pt idx="35">
                  <c:v>3.6651914291880895E-3</c:v>
                </c:pt>
                <c:pt idx="36">
                  <c:v>3.7699111843077491E-3</c:v>
                </c:pt>
                <c:pt idx="37">
                  <c:v>3.8746309394274087E-3</c:v>
                </c:pt>
                <c:pt idx="38">
                  <c:v>3.9793506945470687E-3</c:v>
                </c:pt>
                <c:pt idx="39">
                  <c:v>4.0840704496667287E-3</c:v>
                </c:pt>
                <c:pt idx="40">
                  <c:v>4.1887902047863888E-3</c:v>
                </c:pt>
                <c:pt idx="41">
                  <c:v>4.2935099599060488E-3</c:v>
                </c:pt>
                <c:pt idx="42">
                  <c:v>4.3982297150257088E-3</c:v>
                </c:pt>
                <c:pt idx="43">
                  <c:v>4.5029494701453688E-3</c:v>
                </c:pt>
                <c:pt idx="44">
                  <c:v>4.6076692252650289E-3</c:v>
                </c:pt>
                <c:pt idx="45">
                  <c:v>4.7123889803846889E-3</c:v>
                </c:pt>
                <c:pt idx="46">
                  <c:v>4.8171087355043489E-3</c:v>
                </c:pt>
                <c:pt idx="47">
                  <c:v>4.9218284906240089E-3</c:v>
                </c:pt>
                <c:pt idx="48">
                  <c:v>5.0265482457436689E-3</c:v>
                </c:pt>
                <c:pt idx="49">
                  <c:v>5.131268000863329E-3</c:v>
                </c:pt>
                <c:pt idx="50">
                  <c:v>5.235987755982989E-3</c:v>
                </c:pt>
                <c:pt idx="51">
                  <c:v>5.340707511102649E-3</c:v>
                </c:pt>
                <c:pt idx="52">
                  <c:v>5.445427266222309E-3</c:v>
                </c:pt>
                <c:pt idx="53">
                  <c:v>5.5501470213419691E-3</c:v>
                </c:pt>
                <c:pt idx="54">
                  <c:v>5.6548667764616291E-3</c:v>
                </c:pt>
                <c:pt idx="55">
                  <c:v>5.7595865315812891E-3</c:v>
                </c:pt>
                <c:pt idx="56">
                  <c:v>5.8643062867009491E-3</c:v>
                </c:pt>
                <c:pt idx="57">
                  <c:v>5.9690260418206091E-3</c:v>
                </c:pt>
                <c:pt idx="58">
                  <c:v>6.0737457969402692E-3</c:v>
                </c:pt>
                <c:pt idx="59">
                  <c:v>6.1784655520599292E-3</c:v>
                </c:pt>
                <c:pt idx="60">
                  <c:v>6.2831853071795892E-3</c:v>
                </c:pt>
                <c:pt idx="61">
                  <c:v>6.3879050622992492E-3</c:v>
                </c:pt>
                <c:pt idx="62">
                  <c:v>6.4926248174189093E-3</c:v>
                </c:pt>
                <c:pt idx="63">
                  <c:v>6.5973445725385693E-3</c:v>
                </c:pt>
                <c:pt idx="64">
                  <c:v>6.7020643276582293E-3</c:v>
                </c:pt>
                <c:pt idx="65">
                  <c:v>6.8067840827778893E-3</c:v>
                </c:pt>
                <c:pt idx="66">
                  <c:v>6.9115038378975494E-3</c:v>
                </c:pt>
                <c:pt idx="67">
                  <c:v>7.0162235930172094E-3</c:v>
                </c:pt>
                <c:pt idx="68">
                  <c:v>7.1209433481368694E-3</c:v>
                </c:pt>
                <c:pt idx="69">
                  <c:v>7.2256631032565294E-3</c:v>
                </c:pt>
                <c:pt idx="70">
                  <c:v>7.3303828583761894E-3</c:v>
                </c:pt>
                <c:pt idx="71">
                  <c:v>7.4351026134958495E-3</c:v>
                </c:pt>
                <c:pt idx="72">
                  <c:v>7.5398223686155095E-3</c:v>
                </c:pt>
                <c:pt idx="73">
                  <c:v>7.6445421237351695E-3</c:v>
                </c:pt>
                <c:pt idx="74">
                  <c:v>7.7492618788548295E-3</c:v>
                </c:pt>
                <c:pt idx="75">
                  <c:v>7.8539816339744887E-3</c:v>
                </c:pt>
                <c:pt idx="76">
                  <c:v>7.9587013890941478E-3</c:v>
                </c:pt>
                <c:pt idx="77">
                  <c:v>8.063421144213807E-3</c:v>
                </c:pt>
                <c:pt idx="78">
                  <c:v>8.1681408993334662E-3</c:v>
                </c:pt>
                <c:pt idx="79">
                  <c:v>8.2728606544531253E-3</c:v>
                </c:pt>
                <c:pt idx="80">
                  <c:v>8.3775804095727845E-3</c:v>
                </c:pt>
                <c:pt idx="81">
                  <c:v>8.4823001646924436E-3</c:v>
                </c:pt>
                <c:pt idx="82">
                  <c:v>8.5870199198121028E-3</c:v>
                </c:pt>
                <c:pt idx="83">
                  <c:v>8.6917396749317619E-3</c:v>
                </c:pt>
                <c:pt idx="84">
                  <c:v>8.7964594300514211E-3</c:v>
                </c:pt>
                <c:pt idx="85">
                  <c:v>8.9011791851710802E-3</c:v>
                </c:pt>
                <c:pt idx="86">
                  <c:v>9.0058989402907394E-3</c:v>
                </c:pt>
                <c:pt idx="87">
                  <c:v>9.1106186954103986E-3</c:v>
                </c:pt>
                <c:pt idx="88">
                  <c:v>9.2153384505300577E-3</c:v>
                </c:pt>
                <c:pt idx="89">
                  <c:v>9.3200582056497169E-3</c:v>
                </c:pt>
                <c:pt idx="90">
                  <c:v>9.424777960769376E-3</c:v>
                </c:pt>
                <c:pt idx="91">
                  <c:v>9.5294977158890352E-3</c:v>
                </c:pt>
                <c:pt idx="92">
                  <c:v>9.6342174710086943E-3</c:v>
                </c:pt>
                <c:pt idx="93">
                  <c:v>9.7389372261283535E-3</c:v>
                </c:pt>
                <c:pt idx="94">
                  <c:v>9.8436569812480126E-3</c:v>
                </c:pt>
                <c:pt idx="95">
                  <c:v>9.9483767363676718E-3</c:v>
                </c:pt>
                <c:pt idx="96">
                  <c:v>1.0053096491487331E-2</c:v>
                </c:pt>
                <c:pt idx="97">
                  <c:v>1.015781624660699E-2</c:v>
                </c:pt>
                <c:pt idx="98">
                  <c:v>1.0262536001726649E-2</c:v>
                </c:pt>
                <c:pt idx="99">
                  <c:v>1.0367255756846308E-2</c:v>
                </c:pt>
                <c:pt idx="100">
                  <c:v>1.0471975511965968E-2</c:v>
                </c:pt>
                <c:pt idx="101">
                  <c:v>1.0576695267085627E-2</c:v>
                </c:pt>
                <c:pt idx="102">
                  <c:v>1.0681415022205286E-2</c:v>
                </c:pt>
                <c:pt idx="103">
                  <c:v>1.0786134777324945E-2</c:v>
                </c:pt>
                <c:pt idx="104">
                  <c:v>1.0890854532444604E-2</c:v>
                </c:pt>
                <c:pt idx="105">
                  <c:v>1.0995574287564263E-2</c:v>
                </c:pt>
                <c:pt idx="106">
                  <c:v>1.1100294042683923E-2</c:v>
                </c:pt>
                <c:pt idx="107">
                  <c:v>1.1205013797803582E-2</c:v>
                </c:pt>
                <c:pt idx="108">
                  <c:v>1.1309733552923241E-2</c:v>
                </c:pt>
                <c:pt idx="109">
                  <c:v>1.14144533080429E-2</c:v>
                </c:pt>
                <c:pt idx="110">
                  <c:v>1.1519173063162559E-2</c:v>
                </c:pt>
                <c:pt idx="111">
                  <c:v>1.1623892818282218E-2</c:v>
                </c:pt>
                <c:pt idx="112">
                  <c:v>1.1728612573401877E-2</c:v>
                </c:pt>
                <c:pt idx="113">
                  <c:v>1.1833332328521537E-2</c:v>
                </c:pt>
                <c:pt idx="114">
                  <c:v>1.1938052083641196E-2</c:v>
                </c:pt>
                <c:pt idx="115">
                  <c:v>1.2042771838760855E-2</c:v>
                </c:pt>
                <c:pt idx="116">
                  <c:v>1.2147491593880514E-2</c:v>
                </c:pt>
                <c:pt idx="117">
                  <c:v>1.2252211349000173E-2</c:v>
                </c:pt>
                <c:pt idx="118">
                  <c:v>1.2356931104119832E-2</c:v>
                </c:pt>
                <c:pt idx="119">
                  <c:v>1.2461650859239492E-2</c:v>
                </c:pt>
                <c:pt idx="120">
                  <c:v>1.2566370614359151E-2</c:v>
                </c:pt>
                <c:pt idx="121">
                  <c:v>1.267109036947881E-2</c:v>
                </c:pt>
                <c:pt idx="122">
                  <c:v>1.2775810124598469E-2</c:v>
                </c:pt>
                <c:pt idx="123">
                  <c:v>1.2880529879718128E-2</c:v>
                </c:pt>
                <c:pt idx="124">
                  <c:v>1.2985249634837787E-2</c:v>
                </c:pt>
                <c:pt idx="125">
                  <c:v>1.3089969389957446E-2</c:v>
                </c:pt>
                <c:pt idx="126">
                  <c:v>1.3194689145077106E-2</c:v>
                </c:pt>
                <c:pt idx="127">
                  <c:v>1.3299408900196765E-2</c:v>
                </c:pt>
                <c:pt idx="128">
                  <c:v>1.3404128655316424E-2</c:v>
                </c:pt>
                <c:pt idx="129">
                  <c:v>1.3508848410436083E-2</c:v>
                </c:pt>
                <c:pt idx="130">
                  <c:v>1.3613568165555742E-2</c:v>
                </c:pt>
                <c:pt idx="131">
                  <c:v>1.3718287920675401E-2</c:v>
                </c:pt>
                <c:pt idx="132">
                  <c:v>1.3823007675795061E-2</c:v>
                </c:pt>
                <c:pt idx="133">
                  <c:v>1.392772743091472E-2</c:v>
                </c:pt>
                <c:pt idx="134">
                  <c:v>1.4032447186034379E-2</c:v>
                </c:pt>
                <c:pt idx="135">
                  <c:v>1.4137166941154038E-2</c:v>
                </c:pt>
                <c:pt idx="136">
                  <c:v>1.4241886696273697E-2</c:v>
                </c:pt>
                <c:pt idx="137">
                  <c:v>1.4346606451393356E-2</c:v>
                </c:pt>
                <c:pt idx="138">
                  <c:v>1.4451326206513015E-2</c:v>
                </c:pt>
                <c:pt idx="139">
                  <c:v>1.4556045961632675E-2</c:v>
                </c:pt>
                <c:pt idx="140">
                  <c:v>1.4660765716752334E-2</c:v>
                </c:pt>
                <c:pt idx="141">
                  <c:v>1.4765485471871993E-2</c:v>
                </c:pt>
                <c:pt idx="142">
                  <c:v>1.4870205226991652E-2</c:v>
                </c:pt>
                <c:pt idx="143">
                  <c:v>1.4974924982111311E-2</c:v>
                </c:pt>
                <c:pt idx="144">
                  <c:v>1.507964473723097E-2</c:v>
                </c:pt>
                <c:pt idx="145">
                  <c:v>1.518436449235063E-2</c:v>
                </c:pt>
                <c:pt idx="146">
                  <c:v>1.5289084247470289E-2</c:v>
                </c:pt>
                <c:pt idx="147">
                  <c:v>1.5393804002589948E-2</c:v>
                </c:pt>
                <c:pt idx="148">
                  <c:v>1.5498523757709607E-2</c:v>
                </c:pt>
                <c:pt idx="149">
                  <c:v>1.5603243512829266E-2</c:v>
                </c:pt>
                <c:pt idx="150">
                  <c:v>1.5707963267948925E-2</c:v>
                </c:pt>
                <c:pt idx="151">
                  <c:v>1.5812683023068586E-2</c:v>
                </c:pt>
                <c:pt idx="152">
                  <c:v>1.5917402778188247E-2</c:v>
                </c:pt>
                <c:pt idx="153">
                  <c:v>1.6022122533307908E-2</c:v>
                </c:pt>
                <c:pt idx="154">
                  <c:v>1.6126842288427569E-2</c:v>
                </c:pt>
                <c:pt idx="155">
                  <c:v>1.623156204354723E-2</c:v>
                </c:pt>
                <c:pt idx="156">
                  <c:v>1.6336281798666891E-2</c:v>
                </c:pt>
                <c:pt idx="157">
                  <c:v>1.6441001553786552E-2</c:v>
                </c:pt>
                <c:pt idx="158">
                  <c:v>1.6545721308906212E-2</c:v>
                </c:pt>
                <c:pt idx="159">
                  <c:v>1.6650441064025873E-2</c:v>
                </c:pt>
                <c:pt idx="160">
                  <c:v>1.6755160819145534E-2</c:v>
                </c:pt>
                <c:pt idx="161">
                  <c:v>1.6859880574265195E-2</c:v>
                </c:pt>
                <c:pt idx="162">
                  <c:v>1.6964600329384856E-2</c:v>
                </c:pt>
                <c:pt idx="163">
                  <c:v>1.7069320084504517E-2</c:v>
                </c:pt>
                <c:pt idx="164">
                  <c:v>1.7174039839624178E-2</c:v>
                </c:pt>
                <c:pt idx="165">
                  <c:v>1.7278759594743839E-2</c:v>
                </c:pt>
                <c:pt idx="166">
                  <c:v>1.73834793498635E-2</c:v>
                </c:pt>
                <c:pt idx="167">
                  <c:v>1.748819910498316E-2</c:v>
                </c:pt>
                <c:pt idx="168">
                  <c:v>1.7592918860102821E-2</c:v>
                </c:pt>
                <c:pt idx="169">
                  <c:v>1.7697638615222482E-2</c:v>
                </c:pt>
                <c:pt idx="170">
                  <c:v>1.7802358370342143E-2</c:v>
                </c:pt>
                <c:pt idx="171">
                  <c:v>1.7907078125461804E-2</c:v>
                </c:pt>
                <c:pt idx="172">
                  <c:v>1.8011797880581465E-2</c:v>
                </c:pt>
                <c:pt idx="173">
                  <c:v>1.8116517635701126E-2</c:v>
                </c:pt>
                <c:pt idx="174">
                  <c:v>1.8221237390820787E-2</c:v>
                </c:pt>
                <c:pt idx="175">
                  <c:v>1.8325957145940448E-2</c:v>
                </c:pt>
                <c:pt idx="176">
                  <c:v>1.8430676901060108E-2</c:v>
                </c:pt>
                <c:pt idx="177">
                  <c:v>1.8535396656179769E-2</c:v>
                </c:pt>
                <c:pt idx="178">
                  <c:v>1.864011641129943E-2</c:v>
                </c:pt>
                <c:pt idx="179">
                  <c:v>1.8744836166419091E-2</c:v>
                </c:pt>
                <c:pt idx="180">
                  <c:v>1.8849555921538752E-2</c:v>
                </c:pt>
                <c:pt idx="181">
                  <c:v>1.8954275676658413E-2</c:v>
                </c:pt>
                <c:pt idx="182">
                  <c:v>1.9058995431778074E-2</c:v>
                </c:pt>
                <c:pt idx="183">
                  <c:v>1.9163715186897735E-2</c:v>
                </c:pt>
                <c:pt idx="184">
                  <c:v>1.9268434942017396E-2</c:v>
                </c:pt>
                <c:pt idx="185">
                  <c:v>1.9373154697137056E-2</c:v>
                </c:pt>
                <c:pt idx="186">
                  <c:v>1.9477874452256717E-2</c:v>
                </c:pt>
                <c:pt idx="187">
                  <c:v>1.9582594207376378E-2</c:v>
                </c:pt>
                <c:pt idx="188">
                  <c:v>1.9687313962496039E-2</c:v>
                </c:pt>
                <c:pt idx="189">
                  <c:v>1.97920337176157E-2</c:v>
                </c:pt>
                <c:pt idx="190">
                  <c:v>1.9896753472735361E-2</c:v>
                </c:pt>
                <c:pt idx="191">
                  <c:v>2.0001473227855022E-2</c:v>
                </c:pt>
                <c:pt idx="192">
                  <c:v>2.0106192982974683E-2</c:v>
                </c:pt>
                <c:pt idx="193">
                  <c:v>2.0210912738094344E-2</c:v>
                </c:pt>
                <c:pt idx="194">
                  <c:v>2.0315632493214004E-2</c:v>
                </c:pt>
                <c:pt idx="195">
                  <c:v>2.0420352248333665E-2</c:v>
                </c:pt>
                <c:pt idx="196">
                  <c:v>2.0525072003453326E-2</c:v>
                </c:pt>
                <c:pt idx="197">
                  <c:v>2.0629791758572987E-2</c:v>
                </c:pt>
                <c:pt idx="198">
                  <c:v>2.0734511513692648E-2</c:v>
                </c:pt>
              </c:numCache>
            </c:numRef>
          </c:xVal>
          <c:yVal>
            <c:numRef>
              <c:f>Лист1!$B$2:$B$200</c:f>
              <c:numCache>
                <c:formatCode>General</c:formatCode>
                <c:ptCount val="199"/>
                <c:pt idx="0">
                  <c:v>0</c:v>
                </c:pt>
                <c:pt idx="1">
                  <c:v>5.4781046317267097E-7</c:v>
                </c:pt>
                <c:pt idx="2">
                  <c:v>2.185239926619431E-6</c:v>
                </c:pt>
                <c:pt idx="3">
                  <c:v>4.8943483704846466E-6</c:v>
                </c:pt>
                <c:pt idx="4">
                  <c:v>8.6454542357399127E-6</c:v>
                </c:pt>
                <c:pt idx="5">
                  <c:v>1.3397459621556129E-5</c:v>
                </c:pt>
                <c:pt idx="6">
                  <c:v>1.9098300562505252E-5</c:v>
                </c:pt>
                <c:pt idx="7">
                  <c:v>2.5685517452260574E-5</c:v>
                </c:pt>
                <c:pt idx="8">
                  <c:v>3.3086939364114172E-5</c:v>
                </c:pt>
                <c:pt idx="9">
                  <c:v>4.1221474770752691E-5</c:v>
                </c:pt>
                <c:pt idx="10">
                  <c:v>5.0000000000000009E-5</c:v>
                </c:pt>
                <c:pt idx="11">
                  <c:v>5.9326335692419982E-5</c:v>
                </c:pt>
                <c:pt idx="12">
                  <c:v>6.9098300562505272E-5</c:v>
                </c:pt>
                <c:pt idx="13">
                  <c:v>7.9208830918224069E-5</c:v>
                </c:pt>
                <c:pt idx="14">
                  <c:v>8.9547153673234675E-5</c:v>
                </c:pt>
                <c:pt idx="15">
                  <c:v>1.0000000000000002E-4</c:v>
                </c:pt>
                <c:pt idx="16">
                  <c:v>1.1045284632676536E-4</c:v>
                </c:pt>
                <c:pt idx="17">
                  <c:v>1.2079116908177595E-4</c:v>
                </c:pt>
                <c:pt idx="18">
                  <c:v>1.3090169943749476E-4</c:v>
                </c:pt>
                <c:pt idx="19">
                  <c:v>1.4067366430758004E-4</c:v>
                </c:pt>
                <c:pt idx="20">
                  <c:v>1.5000000000000001E-4</c:v>
                </c:pt>
                <c:pt idx="21">
                  <c:v>1.5877852522924726E-4</c:v>
                </c:pt>
                <c:pt idx="22">
                  <c:v>1.6691306063588578E-4</c:v>
                </c:pt>
                <c:pt idx="23">
                  <c:v>1.7431448254773938E-4</c:v>
                </c:pt>
                <c:pt idx="24">
                  <c:v>1.8090169943749468E-4</c:v>
                </c:pt>
                <c:pt idx="25">
                  <c:v>1.8660254037844383E-4</c:v>
                </c:pt>
                <c:pt idx="26">
                  <c:v>1.9135454576426001E-4</c:v>
                </c:pt>
                <c:pt idx="27">
                  <c:v>1.9510565162951529E-4</c:v>
                </c:pt>
                <c:pt idx="28">
                  <c:v>1.978147600733805E-4</c:v>
                </c:pt>
                <c:pt idx="29">
                  <c:v>1.9945218953682729E-4</c:v>
                </c:pt>
                <c:pt idx="30">
                  <c:v>1.9999999999999998E-4</c:v>
                </c:pt>
                <c:pt idx="31">
                  <c:v>1.9945218953682734E-4</c:v>
                </c:pt>
                <c:pt idx="32">
                  <c:v>1.978147600733806E-4</c:v>
                </c:pt>
                <c:pt idx="33">
                  <c:v>1.9510565162951543E-4</c:v>
                </c:pt>
                <c:pt idx="34">
                  <c:v>1.9135454576426014E-4</c:v>
                </c:pt>
                <c:pt idx="35">
                  <c:v>1.8660254037844396E-4</c:v>
                </c:pt>
                <c:pt idx="36">
                  <c:v>1.809016994374949E-4</c:v>
                </c:pt>
                <c:pt idx="37">
                  <c:v>1.743144825477396E-4</c:v>
                </c:pt>
                <c:pt idx="38">
                  <c:v>1.6691306063588599E-4</c:v>
                </c:pt>
                <c:pt idx="39">
                  <c:v>1.5877852522924754E-4</c:v>
                </c:pt>
                <c:pt idx="40">
                  <c:v>1.5000000000000018E-4</c:v>
                </c:pt>
                <c:pt idx="41">
                  <c:v>1.4067366430758015E-4</c:v>
                </c:pt>
                <c:pt idx="42">
                  <c:v>1.309016994374949E-4</c:v>
                </c:pt>
                <c:pt idx="43">
                  <c:v>1.2079116908177606E-4</c:v>
                </c:pt>
                <c:pt idx="44">
                  <c:v>1.104528463267655E-4</c:v>
                </c:pt>
                <c:pt idx="45">
                  <c:v>1.000000000000001E-4</c:v>
                </c:pt>
                <c:pt idx="46">
                  <c:v>8.9547153673234689E-5</c:v>
                </c:pt>
                <c:pt idx="47">
                  <c:v>7.9208830918224137E-5</c:v>
                </c:pt>
                <c:pt idx="48">
                  <c:v>6.9098300562505272E-5</c:v>
                </c:pt>
                <c:pt idx="49">
                  <c:v>5.9326335692419934E-5</c:v>
                </c:pt>
                <c:pt idx="50">
                  <c:v>4.9999999999999982E-5</c:v>
                </c:pt>
                <c:pt idx="51">
                  <c:v>4.122147477075263E-5</c:v>
                </c:pt>
                <c:pt idx="52">
                  <c:v>3.3086939364114151E-5</c:v>
                </c:pt>
                <c:pt idx="53">
                  <c:v>2.5685517452260506E-5</c:v>
                </c:pt>
                <c:pt idx="54">
                  <c:v>1.9098300562505164E-5</c:v>
                </c:pt>
                <c:pt idx="55">
                  <c:v>1.3397459621556073E-5</c:v>
                </c:pt>
                <c:pt idx="56">
                  <c:v>8.6454542357398348E-6</c:v>
                </c:pt>
                <c:pt idx="57">
                  <c:v>4.8943483704845687E-6</c:v>
                </c:pt>
                <c:pt idx="58">
                  <c:v>2.1852399266193865E-6</c:v>
                </c:pt>
                <c:pt idx="59">
                  <c:v>5.4781046317263762E-7</c:v>
                </c:pt>
                <c:pt idx="60">
                  <c:v>0</c:v>
                </c:pt>
                <c:pt idx="61">
                  <c:v>5.478104631726932E-7</c:v>
                </c:pt>
                <c:pt idx="62">
                  <c:v>2.1852399266195085E-6</c:v>
                </c:pt>
                <c:pt idx="63">
                  <c:v>4.8943483704847466E-6</c:v>
                </c:pt>
                <c:pt idx="64">
                  <c:v>8.6454542357400685E-6</c:v>
                </c:pt>
                <c:pt idx="65">
                  <c:v>1.3397459621556317E-5</c:v>
                </c:pt>
                <c:pt idx="66">
                  <c:v>1.9098300562505496E-5</c:v>
                </c:pt>
                <c:pt idx="67">
                  <c:v>2.5685517452260896E-5</c:v>
                </c:pt>
                <c:pt idx="68">
                  <c:v>3.3086939364114504E-5</c:v>
                </c:pt>
                <c:pt idx="69">
                  <c:v>4.1221474770753091E-5</c:v>
                </c:pt>
                <c:pt idx="70">
                  <c:v>5.0000000000000484E-5</c:v>
                </c:pt>
                <c:pt idx="71">
                  <c:v>5.932633569242047E-5</c:v>
                </c:pt>
                <c:pt idx="72">
                  <c:v>6.9098300562505814E-5</c:v>
                </c:pt>
                <c:pt idx="73">
                  <c:v>7.9208830918224611E-5</c:v>
                </c:pt>
                <c:pt idx="74">
                  <c:v>8.9547153673235258E-5</c:v>
                </c:pt>
                <c:pt idx="75">
                  <c:v>1.0000000000000059E-4</c:v>
                </c:pt>
                <c:pt idx="76">
                  <c:v>1.1045284632676581E-4</c:v>
                </c:pt>
                <c:pt idx="77">
                  <c:v>1.2079116908177635E-4</c:v>
                </c:pt>
                <c:pt idx="78">
                  <c:v>1.3090169943749504E-4</c:v>
                </c:pt>
                <c:pt idx="79">
                  <c:v>1.4067366430758037E-4</c:v>
                </c:pt>
                <c:pt idx="80">
                  <c:v>1.500000000000002E-4</c:v>
                </c:pt>
                <c:pt idx="81">
                  <c:v>1.587785252292474E-4</c:v>
                </c:pt>
                <c:pt idx="82">
                  <c:v>1.6691306063588594E-4</c:v>
                </c:pt>
                <c:pt idx="83">
                  <c:v>1.7431448254773946E-4</c:v>
                </c:pt>
                <c:pt idx="84">
                  <c:v>1.8090169943749471E-4</c:v>
                </c:pt>
                <c:pt idx="85">
                  <c:v>1.8660254037844386E-4</c:v>
                </c:pt>
                <c:pt idx="86">
                  <c:v>1.9135454576426004E-4</c:v>
                </c:pt>
                <c:pt idx="87">
                  <c:v>1.9510565162951526E-4</c:v>
                </c:pt>
                <c:pt idx="88">
                  <c:v>1.9781476007338047E-4</c:v>
                </c:pt>
                <c:pt idx="89">
                  <c:v>1.9945218953682729E-4</c:v>
                </c:pt>
                <c:pt idx="90">
                  <c:v>1.9999999999999998E-4</c:v>
                </c:pt>
                <c:pt idx="91">
                  <c:v>1.9945218953682737E-4</c:v>
                </c:pt>
                <c:pt idx="92">
                  <c:v>1.9781476007338063E-4</c:v>
                </c:pt>
                <c:pt idx="93">
                  <c:v>1.9510565162951553E-4</c:v>
                </c:pt>
                <c:pt idx="94">
                  <c:v>1.9135454576426036E-4</c:v>
                </c:pt>
                <c:pt idx="95">
                  <c:v>1.8660254037844418E-4</c:v>
                </c:pt>
                <c:pt idx="96">
                  <c:v>1.8090169943749517E-4</c:v>
                </c:pt>
                <c:pt idx="97">
                  <c:v>1.7431448254773998E-4</c:v>
                </c:pt>
                <c:pt idx="98">
                  <c:v>1.669130606358864E-4</c:v>
                </c:pt>
                <c:pt idx="99">
                  <c:v>1.5877852522924805E-4</c:v>
                </c:pt>
                <c:pt idx="100">
                  <c:v>1.5000000000000091E-4</c:v>
                </c:pt>
                <c:pt idx="101">
                  <c:v>1.4067366430758091E-4</c:v>
                </c:pt>
                <c:pt idx="102">
                  <c:v>1.3090169943749577E-4</c:v>
                </c:pt>
                <c:pt idx="103">
                  <c:v>1.2079116908177713E-4</c:v>
                </c:pt>
                <c:pt idx="104">
                  <c:v>1.104528463267665E-4</c:v>
                </c:pt>
                <c:pt idx="105">
                  <c:v>1.0000000000000128E-4</c:v>
                </c:pt>
                <c:pt idx="106">
                  <c:v>8.9547153673236044E-5</c:v>
                </c:pt>
                <c:pt idx="107">
                  <c:v>7.920883091822537E-5</c:v>
                </c:pt>
                <c:pt idx="108">
                  <c:v>6.9098300562506654E-5</c:v>
                </c:pt>
                <c:pt idx="109">
                  <c:v>5.9326335692421425E-5</c:v>
                </c:pt>
                <c:pt idx="110">
                  <c:v>5.0000000000001317E-5</c:v>
                </c:pt>
                <c:pt idx="111">
                  <c:v>4.1221474770754012E-5</c:v>
                </c:pt>
                <c:pt idx="112">
                  <c:v>3.3086939364115486E-5</c:v>
                </c:pt>
                <c:pt idx="113">
                  <c:v>2.5685517452261827E-5</c:v>
                </c:pt>
                <c:pt idx="114">
                  <c:v>1.909830056250633E-5</c:v>
                </c:pt>
                <c:pt idx="115">
                  <c:v>1.3397459621557105E-5</c:v>
                </c:pt>
                <c:pt idx="116">
                  <c:v>8.6454542357407445E-6</c:v>
                </c:pt>
                <c:pt idx="117">
                  <c:v>4.8943483704852573E-6</c:v>
                </c:pt>
                <c:pt idx="118">
                  <c:v>2.1852399266198749E-6</c:v>
                </c:pt>
                <c:pt idx="119">
                  <c:v>5.4781046317290411E-7</c:v>
                </c:pt>
                <c:pt idx="120">
                  <c:v>0</c:v>
                </c:pt>
                <c:pt idx="121">
                  <c:v>5.478104631724267E-7</c:v>
                </c:pt>
                <c:pt idx="122">
                  <c:v>2.1852399266189313E-6</c:v>
                </c:pt>
                <c:pt idx="123">
                  <c:v>4.894348370483914E-6</c:v>
                </c:pt>
                <c:pt idx="124">
                  <c:v>8.645454235738903E-6</c:v>
                </c:pt>
                <c:pt idx="125">
                  <c:v>1.339745962155484E-5</c:v>
                </c:pt>
                <c:pt idx="126">
                  <c:v>1.9098300562503765E-5</c:v>
                </c:pt>
                <c:pt idx="127">
                  <c:v>2.5685517452258798E-5</c:v>
                </c:pt>
                <c:pt idx="128">
                  <c:v>3.3086939364112112E-5</c:v>
                </c:pt>
                <c:pt idx="129">
                  <c:v>4.1221474770750482E-5</c:v>
                </c:pt>
                <c:pt idx="130">
                  <c:v>4.9999999999997543E-5</c:v>
                </c:pt>
                <c:pt idx="131">
                  <c:v>5.9326335692417271E-5</c:v>
                </c:pt>
                <c:pt idx="132">
                  <c:v>6.9098300562502494E-5</c:v>
                </c:pt>
                <c:pt idx="133">
                  <c:v>7.9208830918221115E-5</c:v>
                </c:pt>
                <c:pt idx="134">
                  <c:v>8.9547153673231531E-5</c:v>
                </c:pt>
                <c:pt idx="135">
                  <c:v>9.9999999999996915E-5</c:v>
                </c:pt>
                <c:pt idx="136">
                  <c:v>1.1045284632676216E-4</c:v>
                </c:pt>
                <c:pt idx="137">
                  <c:v>1.2079116908177269E-4</c:v>
                </c:pt>
                <c:pt idx="138">
                  <c:v>1.3090169943749162E-4</c:v>
                </c:pt>
                <c:pt idx="139">
                  <c:v>1.4067366430757695E-4</c:v>
                </c:pt>
                <c:pt idx="140">
                  <c:v>1.4999999999999698E-4</c:v>
                </c:pt>
                <c:pt idx="141">
                  <c:v>1.5877852522924439E-4</c:v>
                </c:pt>
                <c:pt idx="142">
                  <c:v>1.6691306063588317E-4</c:v>
                </c:pt>
                <c:pt idx="143">
                  <c:v>1.7431448254773694E-4</c:v>
                </c:pt>
                <c:pt idx="144">
                  <c:v>1.8090169943749251E-4</c:v>
                </c:pt>
                <c:pt idx="145">
                  <c:v>1.8660254037844199E-4</c:v>
                </c:pt>
                <c:pt idx="146">
                  <c:v>1.9135454576425852E-4</c:v>
                </c:pt>
                <c:pt idx="147">
                  <c:v>1.951056516295141E-4</c:v>
                </c:pt>
                <c:pt idx="148">
                  <c:v>1.9781476007337974E-4</c:v>
                </c:pt>
                <c:pt idx="149">
                  <c:v>1.9945218953682688E-4</c:v>
                </c:pt>
                <c:pt idx="150">
                  <c:v>1.9999999999999998E-4</c:v>
                </c:pt>
                <c:pt idx="151">
                  <c:v>1.9945218953682772E-4</c:v>
                </c:pt>
                <c:pt idx="152">
                  <c:v>1.9781476007338136E-4</c:v>
                </c:pt>
                <c:pt idx="153">
                  <c:v>1.9510565162951651E-4</c:v>
                </c:pt>
                <c:pt idx="154">
                  <c:v>1.9135454576426158E-4</c:v>
                </c:pt>
                <c:pt idx="155">
                  <c:v>1.866025403784457E-4</c:v>
                </c:pt>
                <c:pt idx="156">
                  <c:v>1.8090169943749663E-4</c:v>
                </c:pt>
                <c:pt idx="157">
                  <c:v>1.7431448254774155E-4</c:v>
                </c:pt>
                <c:pt idx="158">
                  <c:v>1.6691306063588814E-4</c:v>
                </c:pt>
                <c:pt idx="159">
                  <c:v>1.5877852522924981E-4</c:v>
                </c:pt>
                <c:pt idx="160">
                  <c:v>1.5000000000000262E-4</c:v>
                </c:pt>
                <c:pt idx="161">
                  <c:v>1.4067366430758272E-4</c:v>
                </c:pt>
                <c:pt idx="162">
                  <c:v>1.3090169943749748E-4</c:v>
                </c:pt>
                <c:pt idx="163">
                  <c:v>1.2079116908177837E-4</c:v>
                </c:pt>
                <c:pt idx="164">
                  <c:v>1.1045284632676776E-4</c:v>
                </c:pt>
                <c:pt idx="165">
                  <c:v>1.0000000000000236E-4</c:v>
                </c:pt>
                <c:pt idx="166">
                  <c:v>8.9547153673236952E-5</c:v>
                </c:pt>
                <c:pt idx="167">
                  <c:v>7.9208830918226278E-5</c:v>
                </c:pt>
                <c:pt idx="168">
                  <c:v>6.9098300562507332E-5</c:v>
                </c:pt>
                <c:pt idx="169">
                  <c:v>5.9326335692421933E-5</c:v>
                </c:pt>
                <c:pt idx="170">
                  <c:v>5.0000000000001486E-5</c:v>
                </c:pt>
                <c:pt idx="171">
                  <c:v>4.1221474770754039E-5</c:v>
                </c:pt>
                <c:pt idx="172">
                  <c:v>3.3086939364115371E-5</c:v>
                </c:pt>
                <c:pt idx="173">
                  <c:v>2.5685517452261617E-5</c:v>
                </c:pt>
                <c:pt idx="174">
                  <c:v>1.909830056250613E-5</c:v>
                </c:pt>
                <c:pt idx="175">
                  <c:v>1.339745962155685E-5</c:v>
                </c:pt>
                <c:pt idx="176">
                  <c:v>8.6454542357403226E-6</c:v>
                </c:pt>
                <c:pt idx="177">
                  <c:v>4.8943483704849355E-6</c:v>
                </c:pt>
                <c:pt idx="178">
                  <c:v>2.1852399266196195E-6</c:v>
                </c:pt>
                <c:pt idx="179">
                  <c:v>5.478104631727598E-7</c:v>
                </c:pt>
                <c:pt idx="180">
                  <c:v>0</c:v>
                </c:pt>
                <c:pt idx="181">
                  <c:v>5.4781046317259325E-7</c:v>
                </c:pt>
                <c:pt idx="182">
                  <c:v>2.1852399266192976E-6</c:v>
                </c:pt>
                <c:pt idx="183">
                  <c:v>4.8943483704845687E-6</c:v>
                </c:pt>
                <c:pt idx="184">
                  <c:v>8.6454542357398348E-6</c:v>
                </c:pt>
                <c:pt idx="185">
                  <c:v>1.3397459621556061E-5</c:v>
                </c:pt>
                <c:pt idx="186">
                  <c:v>1.9098300562505208E-5</c:v>
                </c:pt>
                <c:pt idx="187">
                  <c:v>2.5685517452260564E-5</c:v>
                </c:pt>
                <c:pt idx="188">
                  <c:v>3.3086939364114205E-5</c:v>
                </c:pt>
                <c:pt idx="189">
                  <c:v>4.1221474770752759E-5</c:v>
                </c:pt>
                <c:pt idx="190">
                  <c:v>5.0000000000000443E-5</c:v>
                </c:pt>
                <c:pt idx="191">
                  <c:v>5.932633569242049E-5</c:v>
                </c:pt>
                <c:pt idx="192">
                  <c:v>6.9098300562505855E-5</c:v>
                </c:pt>
                <c:pt idx="193">
                  <c:v>7.9208830918224747E-5</c:v>
                </c:pt>
                <c:pt idx="194">
                  <c:v>8.9547153673235393E-5</c:v>
                </c:pt>
                <c:pt idx="195">
                  <c:v>1.0000000000000079E-4</c:v>
                </c:pt>
                <c:pt idx="196">
                  <c:v>1.1045284632676622E-4</c:v>
                </c:pt>
                <c:pt idx="197">
                  <c:v>1.2079116908177717E-4</c:v>
                </c:pt>
                <c:pt idx="198">
                  <c:v>1.3090169943749601E-4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C0-471E-A420-D77C37B00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91904"/>
        <c:axId val="40890368"/>
      </c:scatterChart>
      <c:valAx>
        <c:axId val="40891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/>
                  <a:t>t</a:t>
                </a:r>
                <a:r>
                  <a:rPr lang="ru-RU" sz="1400"/>
                  <a:t>, сек</a:t>
                </a:r>
              </a:p>
            </c:rich>
          </c:tx>
          <c:layout>
            <c:manualLayout>
              <c:xMode val="edge"/>
              <c:yMode val="edge"/>
              <c:x val="0.86702615674126871"/>
              <c:y val="0.787601958248823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25400">
            <a:solidFill>
              <a:sysClr val="windowText" lastClr="000000"/>
            </a:solidFill>
            <a:tailEnd type="triangle"/>
          </a:ln>
        </c:spPr>
        <c:crossAx val="40890368"/>
        <c:crosses val="autoZero"/>
        <c:crossBetween val="midCat"/>
      </c:valAx>
      <c:valAx>
        <c:axId val="4089036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sz="1400"/>
                  <a:t>q</a:t>
                </a:r>
                <a:r>
                  <a:rPr lang="ru-RU" sz="1400"/>
                  <a:t>, Кл</a:t>
                </a:r>
              </a:p>
            </c:rich>
          </c:tx>
          <c:layout>
            <c:manualLayout>
              <c:xMode val="edge"/>
              <c:yMode val="edge"/>
              <c:x val="0.11944462310598594"/>
              <c:y val="0.2074217914975196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25400">
            <a:solidFill>
              <a:sysClr val="windowText" lastClr="000000"/>
            </a:solidFill>
            <a:tailEnd type="triangle"/>
          </a:ln>
        </c:spPr>
        <c:crossAx val="408919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График</a:t>
            </a:r>
            <a:r>
              <a:rPr lang="ru-RU" baseline="0"/>
              <a:t> зависимости тока от времени</a:t>
            </a:r>
            <a:endParaRPr lang="ru-RU"/>
          </a:p>
        </c:rich>
      </c:tx>
      <c:layout>
        <c:manualLayout>
          <c:xMode val="edge"/>
          <c:yMode val="edge"/>
          <c:x val="0.12396419571059597"/>
          <c:y val="1.73724212812160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2619224691668847E-2"/>
          <c:y val="0.19483515060528089"/>
          <c:w val="0.86166093014473255"/>
          <c:h val="0.72348208279079396"/>
        </c:manualLayout>
      </c:layout>
      <c:scatterChart>
        <c:scatterStyle val="smoothMarker"/>
        <c:varyColors val="0"/>
        <c:ser>
          <c:idx val="0"/>
          <c:order val="0"/>
          <c:spPr>
            <a:ln>
              <a:solidFill>
                <a:srgbClr val="C0504D">
                  <a:shade val="95000"/>
                  <a:satMod val="105000"/>
                </a:srgbClr>
              </a:solidFill>
            </a:ln>
          </c:spPr>
          <c:marker>
            <c:symbol val="none"/>
          </c:marker>
          <c:xVal>
            <c:numRef>
              <c:f>Лист1!$A$2:$A$200</c:f>
              <c:numCache>
                <c:formatCode>General</c:formatCode>
                <c:ptCount val="199"/>
                <c:pt idx="0">
                  <c:v>0</c:v>
                </c:pt>
                <c:pt idx="1">
                  <c:v>1.0471975511965977E-4</c:v>
                </c:pt>
                <c:pt idx="2">
                  <c:v>2.0943951023931953E-4</c:v>
                </c:pt>
                <c:pt idx="3">
                  <c:v>3.1415926535897931E-4</c:v>
                </c:pt>
                <c:pt idx="4">
                  <c:v>4.1887902047863906E-4</c:v>
                </c:pt>
                <c:pt idx="5">
                  <c:v>5.2359877559829881E-4</c:v>
                </c:pt>
                <c:pt idx="6">
                  <c:v>6.2831853071795862E-4</c:v>
                </c:pt>
                <c:pt idx="7">
                  <c:v>7.3303828583761842E-4</c:v>
                </c:pt>
                <c:pt idx="8">
                  <c:v>8.3775804095727823E-4</c:v>
                </c:pt>
                <c:pt idx="9">
                  <c:v>9.4247779607693804E-4</c:v>
                </c:pt>
                <c:pt idx="10">
                  <c:v>1.0471975511965978E-3</c:v>
                </c:pt>
                <c:pt idx="11">
                  <c:v>1.1519173063162576E-3</c:v>
                </c:pt>
                <c:pt idx="12">
                  <c:v>1.2566370614359175E-3</c:v>
                </c:pt>
                <c:pt idx="13">
                  <c:v>1.3613568165555773E-3</c:v>
                </c:pt>
                <c:pt idx="14">
                  <c:v>1.4660765716752371E-3</c:v>
                </c:pt>
                <c:pt idx="15">
                  <c:v>1.5707963267948969E-3</c:v>
                </c:pt>
                <c:pt idx="16">
                  <c:v>1.6755160819145567E-3</c:v>
                </c:pt>
                <c:pt idx="17">
                  <c:v>1.7802358370342165E-3</c:v>
                </c:pt>
                <c:pt idx="18">
                  <c:v>1.8849555921538763E-3</c:v>
                </c:pt>
                <c:pt idx="19">
                  <c:v>1.9896753472735361E-3</c:v>
                </c:pt>
                <c:pt idx="20">
                  <c:v>2.0943951023931957E-3</c:v>
                </c:pt>
                <c:pt idx="21">
                  <c:v>2.1991148575128553E-3</c:v>
                </c:pt>
                <c:pt idx="22">
                  <c:v>2.3038346126325149E-3</c:v>
                </c:pt>
                <c:pt idx="23">
                  <c:v>2.4085543677521744E-3</c:v>
                </c:pt>
                <c:pt idx="24">
                  <c:v>2.513274122871834E-3</c:v>
                </c:pt>
                <c:pt idx="25">
                  <c:v>2.6179938779914936E-3</c:v>
                </c:pt>
                <c:pt idx="26">
                  <c:v>2.7227136331111532E-3</c:v>
                </c:pt>
                <c:pt idx="27">
                  <c:v>2.8274333882308128E-3</c:v>
                </c:pt>
                <c:pt idx="28">
                  <c:v>2.9321531433504724E-3</c:v>
                </c:pt>
                <c:pt idx="29">
                  <c:v>3.036872898470132E-3</c:v>
                </c:pt>
                <c:pt idx="30">
                  <c:v>3.1415926535897916E-3</c:v>
                </c:pt>
                <c:pt idx="31">
                  <c:v>3.2463124087094512E-3</c:v>
                </c:pt>
                <c:pt idx="32">
                  <c:v>3.3510321638291108E-3</c:v>
                </c:pt>
                <c:pt idx="33">
                  <c:v>3.4557519189487703E-3</c:v>
                </c:pt>
                <c:pt idx="34">
                  <c:v>3.5604716740684299E-3</c:v>
                </c:pt>
                <c:pt idx="35">
                  <c:v>3.6651914291880895E-3</c:v>
                </c:pt>
                <c:pt idx="36">
                  <c:v>3.7699111843077491E-3</c:v>
                </c:pt>
                <c:pt idx="37">
                  <c:v>3.8746309394274087E-3</c:v>
                </c:pt>
                <c:pt idx="38">
                  <c:v>3.9793506945470687E-3</c:v>
                </c:pt>
                <c:pt idx="39">
                  <c:v>4.0840704496667287E-3</c:v>
                </c:pt>
                <c:pt idx="40">
                  <c:v>4.1887902047863888E-3</c:v>
                </c:pt>
                <c:pt idx="41">
                  <c:v>4.2935099599060488E-3</c:v>
                </c:pt>
                <c:pt idx="42">
                  <c:v>4.3982297150257088E-3</c:v>
                </c:pt>
                <c:pt idx="43">
                  <c:v>4.5029494701453688E-3</c:v>
                </c:pt>
                <c:pt idx="44">
                  <c:v>4.6076692252650289E-3</c:v>
                </c:pt>
                <c:pt idx="45">
                  <c:v>4.7123889803846889E-3</c:v>
                </c:pt>
                <c:pt idx="46">
                  <c:v>4.8171087355043489E-3</c:v>
                </c:pt>
                <c:pt idx="47">
                  <c:v>4.9218284906240089E-3</c:v>
                </c:pt>
                <c:pt idx="48">
                  <c:v>5.0265482457436689E-3</c:v>
                </c:pt>
                <c:pt idx="49">
                  <c:v>5.131268000863329E-3</c:v>
                </c:pt>
                <c:pt idx="50">
                  <c:v>5.235987755982989E-3</c:v>
                </c:pt>
                <c:pt idx="51">
                  <c:v>5.340707511102649E-3</c:v>
                </c:pt>
                <c:pt idx="52">
                  <c:v>5.445427266222309E-3</c:v>
                </c:pt>
                <c:pt idx="53">
                  <c:v>5.5501470213419691E-3</c:v>
                </c:pt>
                <c:pt idx="54">
                  <c:v>5.6548667764616291E-3</c:v>
                </c:pt>
                <c:pt idx="55">
                  <c:v>5.7595865315812891E-3</c:v>
                </c:pt>
                <c:pt idx="56">
                  <c:v>5.8643062867009491E-3</c:v>
                </c:pt>
                <c:pt idx="57">
                  <c:v>5.9690260418206091E-3</c:v>
                </c:pt>
                <c:pt idx="58">
                  <c:v>6.0737457969402692E-3</c:v>
                </c:pt>
                <c:pt idx="59">
                  <c:v>6.1784655520599292E-3</c:v>
                </c:pt>
                <c:pt idx="60">
                  <c:v>6.2831853071795892E-3</c:v>
                </c:pt>
                <c:pt idx="61">
                  <c:v>6.3879050622992492E-3</c:v>
                </c:pt>
                <c:pt idx="62">
                  <c:v>6.4926248174189093E-3</c:v>
                </c:pt>
                <c:pt idx="63">
                  <c:v>6.5973445725385693E-3</c:v>
                </c:pt>
                <c:pt idx="64">
                  <c:v>6.7020643276582293E-3</c:v>
                </c:pt>
                <c:pt idx="65">
                  <c:v>6.8067840827778893E-3</c:v>
                </c:pt>
                <c:pt idx="66">
                  <c:v>6.9115038378975494E-3</c:v>
                </c:pt>
                <c:pt idx="67">
                  <c:v>7.0162235930172094E-3</c:v>
                </c:pt>
                <c:pt idx="68">
                  <c:v>7.1209433481368694E-3</c:v>
                </c:pt>
                <c:pt idx="69">
                  <c:v>7.2256631032565294E-3</c:v>
                </c:pt>
                <c:pt idx="70">
                  <c:v>7.3303828583761894E-3</c:v>
                </c:pt>
                <c:pt idx="71">
                  <c:v>7.4351026134958495E-3</c:v>
                </c:pt>
                <c:pt idx="72">
                  <c:v>7.5398223686155095E-3</c:v>
                </c:pt>
                <c:pt idx="73">
                  <c:v>7.6445421237351695E-3</c:v>
                </c:pt>
                <c:pt idx="74">
                  <c:v>7.7492618788548295E-3</c:v>
                </c:pt>
                <c:pt idx="75">
                  <c:v>7.8539816339744887E-3</c:v>
                </c:pt>
                <c:pt idx="76">
                  <c:v>7.9587013890941478E-3</c:v>
                </c:pt>
                <c:pt idx="77">
                  <c:v>8.063421144213807E-3</c:v>
                </c:pt>
                <c:pt idx="78">
                  <c:v>8.1681408993334662E-3</c:v>
                </c:pt>
                <c:pt idx="79">
                  <c:v>8.2728606544531253E-3</c:v>
                </c:pt>
                <c:pt idx="80">
                  <c:v>8.3775804095727845E-3</c:v>
                </c:pt>
                <c:pt idx="81">
                  <c:v>8.4823001646924436E-3</c:v>
                </c:pt>
                <c:pt idx="82">
                  <c:v>8.5870199198121028E-3</c:v>
                </c:pt>
                <c:pt idx="83">
                  <c:v>8.6917396749317619E-3</c:v>
                </c:pt>
                <c:pt idx="84">
                  <c:v>8.7964594300514211E-3</c:v>
                </c:pt>
                <c:pt idx="85">
                  <c:v>8.9011791851710802E-3</c:v>
                </c:pt>
                <c:pt idx="86">
                  <c:v>9.0058989402907394E-3</c:v>
                </c:pt>
                <c:pt idx="87">
                  <c:v>9.1106186954103986E-3</c:v>
                </c:pt>
                <c:pt idx="88">
                  <c:v>9.2153384505300577E-3</c:v>
                </c:pt>
                <c:pt idx="89">
                  <c:v>9.3200582056497169E-3</c:v>
                </c:pt>
                <c:pt idx="90">
                  <c:v>9.424777960769376E-3</c:v>
                </c:pt>
                <c:pt idx="91">
                  <c:v>9.5294977158890352E-3</c:v>
                </c:pt>
                <c:pt idx="92">
                  <c:v>9.6342174710086943E-3</c:v>
                </c:pt>
                <c:pt idx="93">
                  <c:v>9.7389372261283535E-3</c:v>
                </c:pt>
                <c:pt idx="94">
                  <c:v>9.8436569812480126E-3</c:v>
                </c:pt>
                <c:pt idx="95">
                  <c:v>9.9483767363676718E-3</c:v>
                </c:pt>
                <c:pt idx="96">
                  <c:v>1.0053096491487331E-2</c:v>
                </c:pt>
                <c:pt idx="97">
                  <c:v>1.015781624660699E-2</c:v>
                </c:pt>
                <c:pt idx="98">
                  <c:v>1.0262536001726649E-2</c:v>
                </c:pt>
                <c:pt idx="99">
                  <c:v>1.0367255756846308E-2</c:v>
                </c:pt>
                <c:pt idx="100">
                  <c:v>1.0471975511965968E-2</c:v>
                </c:pt>
                <c:pt idx="101">
                  <c:v>1.0576695267085627E-2</c:v>
                </c:pt>
                <c:pt idx="102">
                  <c:v>1.0681415022205286E-2</c:v>
                </c:pt>
                <c:pt idx="103">
                  <c:v>1.0786134777324945E-2</c:v>
                </c:pt>
                <c:pt idx="104">
                  <c:v>1.0890854532444604E-2</c:v>
                </c:pt>
                <c:pt idx="105">
                  <c:v>1.0995574287564263E-2</c:v>
                </c:pt>
                <c:pt idx="106">
                  <c:v>1.1100294042683923E-2</c:v>
                </c:pt>
                <c:pt idx="107">
                  <c:v>1.1205013797803582E-2</c:v>
                </c:pt>
                <c:pt idx="108">
                  <c:v>1.1309733552923241E-2</c:v>
                </c:pt>
                <c:pt idx="109">
                  <c:v>1.14144533080429E-2</c:v>
                </c:pt>
                <c:pt idx="110">
                  <c:v>1.1519173063162559E-2</c:v>
                </c:pt>
                <c:pt idx="111">
                  <c:v>1.1623892818282218E-2</c:v>
                </c:pt>
                <c:pt idx="112">
                  <c:v>1.1728612573401877E-2</c:v>
                </c:pt>
                <c:pt idx="113">
                  <c:v>1.1833332328521537E-2</c:v>
                </c:pt>
                <c:pt idx="114">
                  <c:v>1.1938052083641196E-2</c:v>
                </c:pt>
                <c:pt idx="115">
                  <c:v>1.2042771838760855E-2</c:v>
                </c:pt>
                <c:pt idx="116">
                  <c:v>1.2147491593880514E-2</c:v>
                </c:pt>
                <c:pt idx="117">
                  <c:v>1.2252211349000173E-2</c:v>
                </c:pt>
                <c:pt idx="118">
                  <c:v>1.2356931104119832E-2</c:v>
                </c:pt>
                <c:pt idx="119">
                  <c:v>1.2461650859239492E-2</c:v>
                </c:pt>
                <c:pt idx="120">
                  <c:v>1.2566370614359151E-2</c:v>
                </c:pt>
                <c:pt idx="121">
                  <c:v>1.267109036947881E-2</c:v>
                </c:pt>
                <c:pt idx="122">
                  <c:v>1.2775810124598469E-2</c:v>
                </c:pt>
                <c:pt idx="123">
                  <c:v>1.2880529879718128E-2</c:v>
                </c:pt>
                <c:pt idx="124">
                  <c:v>1.2985249634837787E-2</c:v>
                </c:pt>
                <c:pt idx="125">
                  <c:v>1.3089969389957446E-2</c:v>
                </c:pt>
                <c:pt idx="126">
                  <c:v>1.3194689145077106E-2</c:v>
                </c:pt>
                <c:pt idx="127">
                  <c:v>1.3299408900196765E-2</c:v>
                </c:pt>
                <c:pt idx="128">
                  <c:v>1.3404128655316424E-2</c:v>
                </c:pt>
                <c:pt idx="129">
                  <c:v>1.3508848410436083E-2</c:v>
                </c:pt>
                <c:pt idx="130">
                  <c:v>1.3613568165555742E-2</c:v>
                </c:pt>
                <c:pt idx="131">
                  <c:v>1.3718287920675401E-2</c:v>
                </c:pt>
                <c:pt idx="132">
                  <c:v>1.3823007675795061E-2</c:v>
                </c:pt>
                <c:pt idx="133">
                  <c:v>1.392772743091472E-2</c:v>
                </c:pt>
                <c:pt idx="134">
                  <c:v>1.4032447186034379E-2</c:v>
                </c:pt>
                <c:pt idx="135">
                  <c:v>1.4137166941154038E-2</c:v>
                </c:pt>
                <c:pt idx="136">
                  <c:v>1.4241886696273697E-2</c:v>
                </c:pt>
                <c:pt idx="137">
                  <c:v>1.4346606451393356E-2</c:v>
                </c:pt>
                <c:pt idx="138">
                  <c:v>1.4451326206513015E-2</c:v>
                </c:pt>
                <c:pt idx="139">
                  <c:v>1.4556045961632675E-2</c:v>
                </c:pt>
                <c:pt idx="140">
                  <c:v>1.4660765716752334E-2</c:v>
                </c:pt>
                <c:pt idx="141">
                  <c:v>1.4765485471871993E-2</c:v>
                </c:pt>
                <c:pt idx="142">
                  <c:v>1.4870205226991652E-2</c:v>
                </c:pt>
                <c:pt idx="143">
                  <c:v>1.4974924982111311E-2</c:v>
                </c:pt>
                <c:pt idx="144">
                  <c:v>1.507964473723097E-2</c:v>
                </c:pt>
                <c:pt idx="145">
                  <c:v>1.518436449235063E-2</c:v>
                </c:pt>
                <c:pt idx="146">
                  <c:v>1.5289084247470289E-2</c:v>
                </c:pt>
                <c:pt idx="147">
                  <c:v>1.5393804002589948E-2</c:v>
                </c:pt>
                <c:pt idx="148">
                  <c:v>1.5498523757709607E-2</c:v>
                </c:pt>
                <c:pt idx="149">
                  <c:v>1.5603243512829266E-2</c:v>
                </c:pt>
                <c:pt idx="150">
                  <c:v>1.5707963267948925E-2</c:v>
                </c:pt>
                <c:pt idx="151">
                  <c:v>1.5812683023068586E-2</c:v>
                </c:pt>
                <c:pt idx="152">
                  <c:v>1.5917402778188247E-2</c:v>
                </c:pt>
                <c:pt idx="153">
                  <c:v>1.6022122533307908E-2</c:v>
                </c:pt>
                <c:pt idx="154">
                  <c:v>1.6126842288427569E-2</c:v>
                </c:pt>
                <c:pt idx="155">
                  <c:v>1.623156204354723E-2</c:v>
                </c:pt>
                <c:pt idx="156">
                  <c:v>1.6336281798666891E-2</c:v>
                </c:pt>
                <c:pt idx="157">
                  <c:v>1.6441001553786552E-2</c:v>
                </c:pt>
                <c:pt idx="158">
                  <c:v>1.6545721308906212E-2</c:v>
                </c:pt>
                <c:pt idx="159">
                  <c:v>1.6650441064025873E-2</c:v>
                </c:pt>
                <c:pt idx="160">
                  <c:v>1.6755160819145534E-2</c:v>
                </c:pt>
                <c:pt idx="161">
                  <c:v>1.6859880574265195E-2</c:v>
                </c:pt>
                <c:pt idx="162">
                  <c:v>1.6964600329384856E-2</c:v>
                </c:pt>
                <c:pt idx="163">
                  <c:v>1.7069320084504517E-2</c:v>
                </c:pt>
                <c:pt idx="164">
                  <c:v>1.7174039839624178E-2</c:v>
                </c:pt>
                <c:pt idx="165">
                  <c:v>1.7278759594743839E-2</c:v>
                </c:pt>
                <c:pt idx="166">
                  <c:v>1.73834793498635E-2</c:v>
                </c:pt>
                <c:pt idx="167">
                  <c:v>1.748819910498316E-2</c:v>
                </c:pt>
                <c:pt idx="168">
                  <c:v>1.7592918860102821E-2</c:v>
                </c:pt>
                <c:pt idx="169">
                  <c:v>1.7697638615222482E-2</c:v>
                </c:pt>
                <c:pt idx="170">
                  <c:v>1.7802358370342143E-2</c:v>
                </c:pt>
                <c:pt idx="171">
                  <c:v>1.7907078125461804E-2</c:v>
                </c:pt>
                <c:pt idx="172">
                  <c:v>1.8011797880581465E-2</c:v>
                </c:pt>
                <c:pt idx="173">
                  <c:v>1.8116517635701126E-2</c:v>
                </c:pt>
                <c:pt idx="174">
                  <c:v>1.8221237390820787E-2</c:v>
                </c:pt>
                <c:pt idx="175">
                  <c:v>1.8325957145940448E-2</c:v>
                </c:pt>
                <c:pt idx="176">
                  <c:v>1.8430676901060108E-2</c:v>
                </c:pt>
                <c:pt idx="177">
                  <c:v>1.8535396656179769E-2</c:v>
                </c:pt>
                <c:pt idx="178">
                  <c:v>1.864011641129943E-2</c:v>
                </c:pt>
                <c:pt idx="179">
                  <c:v>1.8744836166419091E-2</c:v>
                </c:pt>
                <c:pt idx="180">
                  <c:v>1.8849555921538752E-2</c:v>
                </c:pt>
                <c:pt idx="181">
                  <c:v>1.8954275676658413E-2</c:v>
                </c:pt>
                <c:pt idx="182">
                  <c:v>1.9058995431778074E-2</c:v>
                </c:pt>
                <c:pt idx="183">
                  <c:v>1.9163715186897735E-2</c:v>
                </c:pt>
                <c:pt idx="184">
                  <c:v>1.9268434942017396E-2</c:v>
                </c:pt>
                <c:pt idx="185">
                  <c:v>1.9373154697137056E-2</c:v>
                </c:pt>
                <c:pt idx="186">
                  <c:v>1.9477874452256717E-2</c:v>
                </c:pt>
                <c:pt idx="187">
                  <c:v>1.9582594207376378E-2</c:v>
                </c:pt>
                <c:pt idx="188">
                  <c:v>1.9687313962496039E-2</c:v>
                </c:pt>
                <c:pt idx="189">
                  <c:v>1.97920337176157E-2</c:v>
                </c:pt>
                <c:pt idx="190">
                  <c:v>1.9896753472735361E-2</c:v>
                </c:pt>
                <c:pt idx="191">
                  <c:v>2.0001473227855022E-2</c:v>
                </c:pt>
                <c:pt idx="192">
                  <c:v>2.0106192982974683E-2</c:v>
                </c:pt>
                <c:pt idx="193">
                  <c:v>2.0210912738094344E-2</c:v>
                </c:pt>
                <c:pt idx="194">
                  <c:v>2.0315632493214004E-2</c:v>
                </c:pt>
                <c:pt idx="195">
                  <c:v>2.0420352248333665E-2</c:v>
                </c:pt>
                <c:pt idx="196">
                  <c:v>2.0525072003453326E-2</c:v>
                </c:pt>
                <c:pt idx="197">
                  <c:v>2.0629791758572987E-2</c:v>
                </c:pt>
                <c:pt idx="198">
                  <c:v>2.0734511513692648E-2</c:v>
                </c:pt>
              </c:numCache>
            </c:numRef>
          </c:xVal>
          <c:yVal>
            <c:numRef>
              <c:f>Лист1!$C$2:$C$200</c:f>
              <c:numCache>
                <c:formatCode>General</c:formatCode>
                <c:ptCount val="199"/>
                <c:pt idx="0">
                  <c:v>0</c:v>
                </c:pt>
                <c:pt idx="1">
                  <c:v>1.0452846326765344E-2</c:v>
                </c:pt>
                <c:pt idx="2">
                  <c:v>2.0791169081775931E-2</c:v>
                </c:pt>
                <c:pt idx="3">
                  <c:v>3.0901699437494736E-2</c:v>
                </c:pt>
                <c:pt idx="4">
                  <c:v>4.0673664307580015E-2</c:v>
                </c:pt>
                <c:pt idx="5">
                  <c:v>4.9999999999999989E-2</c:v>
                </c:pt>
                <c:pt idx="6">
                  <c:v>5.8778525229247307E-2</c:v>
                </c:pt>
                <c:pt idx="7">
                  <c:v>6.6913060635885813E-2</c:v>
                </c:pt>
                <c:pt idx="8">
                  <c:v>7.4314482547739424E-2</c:v>
                </c:pt>
                <c:pt idx="9">
                  <c:v>8.0901699437494742E-2</c:v>
                </c:pt>
                <c:pt idx="10">
                  <c:v>8.6602540378443865E-2</c:v>
                </c:pt>
                <c:pt idx="11">
                  <c:v>9.1354545764260081E-2</c:v>
                </c:pt>
                <c:pt idx="12">
                  <c:v>9.5105651629515356E-2</c:v>
                </c:pt>
                <c:pt idx="13">
                  <c:v>9.7814760073380566E-2</c:v>
                </c:pt>
                <c:pt idx="14">
                  <c:v>9.9452189536827329E-2</c:v>
                </c:pt>
                <c:pt idx="15">
                  <c:v>9.9999999999999992E-2</c:v>
                </c:pt>
                <c:pt idx="16">
                  <c:v>9.9452189536827315E-2</c:v>
                </c:pt>
                <c:pt idx="17">
                  <c:v>9.7814760073380552E-2</c:v>
                </c:pt>
                <c:pt idx="18">
                  <c:v>9.5105651629515328E-2</c:v>
                </c:pt>
                <c:pt idx="19">
                  <c:v>9.1354545764260067E-2</c:v>
                </c:pt>
                <c:pt idx="20">
                  <c:v>8.6602540378443837E-2</c:v>
                </c:pt>
                <c:pt idx="21">
                  <c:v>8.0901699437494742E-2</c:v>
                </c:pt>
                <c:pt idx="22">
                  <c:v>7.4314482547739438E-2</c:v>
                </c:pt>
                <c:pt idx="23">
                  <c:v>6.6913060635885827E-2</c:v>
                </c:pt>
                <c:pt idx="24">
                  <c:v>5.8778525229247355E-2</c:v>
                </c:pt>
                <c:pt idx="25">
                  <c:v>5.0000000000000072E-2</c:v>
                </c:pt>
                <c:pt idx="26">
                  <c:v>4.0673664307580126E-2</c:v>
                </c:pt>
                <c:pt idx="27">
                  <c:v>3.0901699437494837E-2</c:v>
                </c:pt>
                <c:pt idx="28">
                  <c:v>2.079116908177606E-2</c:v>
                </c:pt>
                <c:pt idx="29">
                  <c:v>1.0452846326765505E-2</c:v>
                </c:pt>
                <c:pt idx="30">
                  <c:v>1.4547824750410498E-16</c:v>
                </c:pt>
                <c:pt idx="31">
                  <c:v>-1.045284632676517E-2</c:v>
                </c:pt>
                <c:pt idx="32">
                  <c:v>-2.079116908177573E-2</c:v>
                </c:pt>
                <c:pt idx="33">
                  <c:v>-3.0901699437494514E-2</c:v>
                </c:pt>
                <c:pt idx="34">
                  <c:v>-4.0673664307579821E-2</c:v>
                </c:pt>
                <c:pt idx="35">
                  <c:v>-4.9999999999999781E-2</c:v>
                </c:pt>
                <c:pt idx="36">
                  <c:v>-5.8778525229247078E-2</c:v>
                </c:pt>
                <c:pt idx="37">
                  <c:v>-6.6913060635885591E-2</c:v>
                </c:pt>
                <c:pt idx="38">
                  <c:v>-7.4314482547739258E-2</c:v>
                </c:pt>
                <c:pt idx="39">
                  <c:v>-8.0901699437494576E-2</c:v>
                </c:pt>
                <c:pt idx="40">
                  <c:v>-8.660254037844374E-2</c:v>
                </c:pt>
                <c:pt idx="41">
                  <c:v>-9.1354545764260012E-2</c:v>
                </c:pt>
                <c:pt idx="42">
                  <c:v>-9.5105651629515287E-2</c:v>
                </c:pt>
                <c:pt idx="43">
                  <c:v>-9.7814760073380524E-2</c:v>
                </c:pt>
                <c:pt idx="44">
                  <c:v>-9.9452189536827315E-2</c:v>
                </c:pt>
                <c:pt idx="45">
                  <c:v>-9.9999999999999992E-2</c:v>
                </c:pt>
                <c:pt idx="46">
                  <c:v>-9.9452189536827329E-2</c:v>
                </c:pt>
                <c:pt idx="47">
                  <c:v>-9.7814760073380566E-2</c:v>
                </c:pt>
                <c:pt idx="48">
                  <c:v>-9.5105651629515356E-2</c:v>
                </c:pt>
                <c:pt idx="49">
                  <c:v>-9.1354545764260067E-2</c:v>
                </c:pt>
                <c:pt idx="50">
                  <c:v>-8.6602540378443851E-2</c:v>
                </c:pt>
                <c:pt idx="51">
                  <c:v>-8.0901699437494701E-2</c:v>
                </c:pt>
                <c:pt idx="52">
                  <c:v>-7.4314482547739397E-2</c:v>
                </c:pt>
                <c:pt idx="53">
                  <c:v>-6.6913060635885743E-2</c:v>
                </c:pt>
                <c:pt idx="54">
                  <c:v>-5.8778525229247189E-2</c:v>
                </c:pt>
                <c:pt idx="55">
                  <c:v>-4.9999999999999885E-2</c:v>
                </c:pt>
                <c:pt idx="56">
                  <c:v>-4.0673664307579849E-2</c:v>
                </c:pt>
                <c:pt idx="57">
                  <c:v>-3.0901699437494511E-2</c:v>
                </c:pt>
                <c:pt idx="58">
                  <c:v>-2.0791169081775723E-2</c:v>
                </c:pt>
                <c:pt idx="59">
                  <c:v>-1.0452846326765075E-2</c:v>
                </c:pt>
                <c:pt idx="60">
                  <c:v>2.4195055681186516E-16</c:v>
                </c:pt>
                <c:pt idx="61">
                  <c:v>1.0452846326765646E-2</c:v>
                </c:pt>
                <c:pt idx="62">
                  <c:v>2.0791169081776285E-2</c:v>
                </c:pt>
                <c:pt idx="63">
                  <c:v>3.0901699437495052E-2</c:v>
                </c:pt>
                <c:pt idx="64">
                  <c:v>4.0673664307580376E-2</c:v>
                </c:pt>
                <c:pt idx="65">
                  <c:v>5.0000000000000308E-2</c:v>
                </c:pt>
                <c:pt idx="66">
                  <c:v>5.877852522924764E-2</c:v>
                </c:pt>
                <c:pt idx="67">
                  <c:v>6.6913060635886173E-2</c:v>
                </c:pt>
                <c:pt idx="68">
                  <c:v>7.4314482547739716E-2</c:v>
                </c:pt>
                <c:pt idx="69">
                  <c:v>8.0901699437495034E-2</c:v>
                </c:pt>
                <c:pt idx="70">
                  <c:v>8.6602540378444143E-2</c:v>
                </c:pt>
                <c:pt idx="71">
                  <c:v>9.1354545764260303E-2</c:v>
                </c:pt>
                <c:pt idx="72">
                  <c:v>9.5105651629515536E-2</c:v>
                </c:pt>
                <c:pt idx="73">
                  <c:v>9.7814760073380677E-2</c:v>
                </c:pt>
                <c:pt idx="74">
                  <c:v>9.9452189536827384E-2</c:v>
                </c:pt>
                <c:pt idx="75">
                  <c:v>9.9999999999999992E-2</c:v>
                </c:pt>
                <c:pt idx="76">
                  <c:v>9.9452189536827273E-2</c:v>
                </c:pt>
                <c:pt idx="77">
                  <c:v>9.7814760073380455E-2</c:v>
                </c:pt>
                <c:pt idx="78">
                  <c:v>9.5105651629515245E-2</c:v>
                </c:pt>
                <c:pt idx="79">
                  <c:v>9.1354545764259928E-2</c:v>
                </c:pt>
                <c:pt idx="80">
                  <c:v>8.6602540378443726E-2</c:v>
                </c:pt>
                <c:pt idx="81">
                  <c:v>8.0901699437494645E-2</c:v>
                </c:pt>
                <c:pt idx="82">
                  <c:v>7.4314482547739286E-2</c:v>
                </c:pt>
                <c:pt idx="83">
                  <c:v>6.6913060635885757E-2</c:v>
                </c:pt>
                <c:pt idx="84">
                  <c:v>5.8778525229247328E-2</c:v>
                </c:pt>
                <c:pt idx="85">
                  <c:v>4.9999999999999975E-2</c:v>
                </c:pt>
                <c:pt idx="86">
                  <c:v>4.0673664307580105E-2</c:v>
                </c:pt>
                <c:pt idx="87">
                  <c:v>3.0901699437494941E-2</c:v>
                </c:pt>
                <c:pt idx="88">
                  <c:v>2.0791169081776258E-2</c:v>
                </c:pt>
                <c:pt idx="89">
                  <c:v>1.0452846326765618E-2</c:v>
                </c:pt>
                <c:pt idx="90">
                  <c:v>3.9202582152730866E-16</c:v>
                </c:pt>
                <c:pt idx="91">
                  <c:v>-1.0452846326764837E-2</c:v>
                </c:pt>
                <c:pt idx="92">
                  <c:v>-2.0791169081775487E-2</c:v>
                </c:pt>
                <c:pt idx="93">
                  <c:v>-3.0901699437494198E-2</c:v>
                </c:pt>
                <c:pt idx="94">
                  <c:v>-4.0673664307579384E-2</c:v>
                </c:pt>
                <c:pt idx="95">
                  <c:v>-4.9999999999999455E-2</c:v>
                </c:pt>
                <c:pt idx="96">
                  <c:v>-5.8778525229246696E-2</c:v>
                </c:pt>
                <c:pt idx="97">
                  <c:v>-6.6913060635885174E-2</c:v>
                </c:pt>
                <c:pt idx="98">
                  <c:v>-7.4314482547738869E-2</c:v>
                </c:pt>
                <c:pt idx="99">
                  <c:v>-8.0901699437494201E-2</c:v>
                </c:pt>
                <c:pt idx="100">
                  <c:v>-8.6602540378443324E-2</c:v>
                </c:pt>
                <c:pt idx="101">
                  <c:v>-9.1354545764259679E-2</c:v>
                </c:pt>
                <c:pt idx="102">
                  <c:v>-9.5105651629515009E-2</c:v>
                </c:pt>
                <c:pt idx="103">
                  <c:v>-9.7814760073380302E-2</c:v>
                </c:pt>
                <c:pt idx="104">
                  <c:v>-9.9452189536827204E-2</c:v>
                </c:pt>
                <c:pt idx="105">
                  <c:v>-9.9999999999999992E-2</c:v>
                </c:pt>
                <c:pt idx="106">
                  <c:v>-9.9452189536827482E-2</c:v>
                </c:pt>
                <c:pt idx="107">
                  <c:v>-9.7814760073380844E-2</c:v>
                </c:pt>
                <c:pt idx="108">
                  <c:v>-9.51056516295158E-2</c:v>
                </c:pt>
                <c:pt idx="109">
                  <c:v>-9.1354545764260719E-2</c:v>
                </c:pt>
                <c:pt idx="110">
                  <c:v>-8.6602540378444615E-2</c:v>
                </c:pt>
                <c:pt idx="111">
                  <c:v>-8.09016994374957E-2</c:v>
                </c:pt>
                <c:pt idx="112">
                  <c:v>-7.431448254774059E-2</c:v>
                </c:pt>
                <c:pt idx="113">
                  <c:v>-6.6913060635887214E-2</c:v>
                </c:pt>
                <c:pt idx="114">
                  <c:v>-5.8778525229248785E-2</c:v>
                </c:pt>
                <c:pt idx="115">
                  <c:v>-5.0000000000001675E-2</c:v>
                </c:pt>
                <c:pt idx="116">
                  <c:v>-4.0673664307581903E-2</c:v>
                </c:pt>
                <c:pt idx="117">
                  <c:v>-3.0901699437496641E-2</c:v>
                </c:pt>
                <c:pt idx="118">
                  <c:v>-2.0791169081778006E-2</c:v>
                </c:pt>
                <c:pt idx="119">
                  <c:v>-1.0452846326767573E-2</c:v>
                </c:pt>
                <c:pt idx="120">
                  <c:v>-2.1806341454766453E-15</c:v>
                </c:pt>
                <c:pt idx="121">
                  <c:v>1.0452846326763059E-2</c:v>
                </c:pt>
                <c:pt idx="122">
                  <c:v>2.0791169081773569E-2</c:v>
                </c:pt>
                <c:pt idx="123">
                  <c:v>3.0901699437492495E-2</c:v>
                </c:pt>
                <c:pt idx="124">
                  <c:v>4.0673664307577753E-2</c:v>
                </c:pt>
                <c:pt idx="125">
                  <c:v>4.9999999999997748E-2</c:v>
                </c:pt>
                <c:pt idx="126">
                  <c:v>5.8778525229245253E-2</c:v>
                </c:pt>
                <c:pt idx="127">
                  <c:v>6.6913060635883842E-2</c:v>
                </c:pt>
                <c:pt idx="128">
                  <c:v>7.4314482547737565E-2</c:v>
                </c:pt>
                <c:pt idx="129">
                  <c:v>8.0901699437493146E-2</c:v>
                </c:pt>
                <c:pt idx="130">
                  <c:v>8.6602540378442436E-2</c:v>
                </c:pt>
                <c:pt idx="131">
                  <c:v>9.1354545764258874E-2</c:v>
                </c:pt>
                <c:pt idx="132">
                  <c:v>9.5105651629514454E-2</c:v>
                </c:pt>
                <c:pt idx="133">
                  <c:v>9.7814760073379928E-2</c:v>
                </c:pt>
                <c:pt idx="134">
                  <c:v>9.9452189536826996E-2</c:v>
                </c:pt>
                <c:pt idx="135">
                  <c:v>9.9999999999999992E-2</c:v>
                </c:pt>
                <c:pt idx="136">
                  <c:v>9.9452189536827648E-2</c:v>
                </c:pt>
                <c:pt idx="137">
                  <c:v>9.7814760073381246E-2</c:v>
                </c:pt>
                <c:pt idx="138">
                  <c:v>9.5105651629516355E-2</c:v>
                </c:pt>
                <c:pt idx="139">
                  <c:v>9.1354545764261455E-2</c:v>
                </c:pt>
                <c:pt idx="140">
                  <c:v>8.66025403784456E-2</c:v>
                </c:pt>
                <c:pt idx="141">
                  <c:v>8.0901699437496866E-2</c:v>
                </c:pt>
                <c:pt idx="142">
                  <c:v>7.4314482547741798E-2</c:v>
                </c:pt>
                <c:pt idx="143">
                  <c:v>6.6913060635888533E-2</c:v>
                </c:pt>
                <c:pt idx="144">
                  <c:v>5.8778525229250374E-2</c:v>
                </c:pt>
                <c:pt idx="145">
                  <c:v>5.0000000000003229E-2</c:v>
                </c:pt>
                <c:pt idx="146">
                  <c:v>4.0673664307583533E-2</c:v>
                </c:pt>
                <c:pt idx="147">
                  <c:v>3.0901699437498511E-2</c:v>
                </c:pt>
                <c:pt idx="148">
                  <c:v>2.0791169081779755E-2</c:v>
                </c:pt>
                <c:pt idx="149">
                  <c:v>1.0452846326769353E-2</c:v>
                </c:pt>
                <c:pt idx="150">
                  <c:v>4.1468781533660068E-15</c:v>
                </c:pt>
                <c:pt idx="151">
                  <c:v>-1.0452846326761458E-2</c:v>
                </c:pt>
                <c:pt idx="152">
                  <c:v>-2.0791169081772164E-2</c:v>
                </c:pt>
                <c:pt idx="153">
                  <c:v>-3.0901699437491135E-2</c:v>
                </c:pt>
                <c:pt idx="154">
                  <c:v>-4.0673664307576601E-2</c:v>
                </c:pt>
                <c:pt idx="155">
                  <c:v>-4.9999999999996818E-2</c:v>
                </c:pt>
                <c:pt idx="156">
                  <c:v>-5.8778525229244663E-2</c:v>
                </c:pt>
                <c:pt idx="157">
                  <c:v>-6.6913060635883426E-2</c:v>
                </c:pt>
                <c:pt idx="158">
                  <c:v>-7.4314482547737315E-2</c:v>
                </c:pt>
                <c:pt idx="159">
                  <c:v>-8.0901699437492924E-2</c:v>
                </c:pt>
                <c:pt idx="160">
                  <c:v>-8.6602540378442339E-2</c:v>
                </c:pt>
                <c:pt idx="161">
                  <c:v>-9.1354545764258874E-2</c:v>
                </c:pt>
                <c:pt idx="162">
                  <c:v>-9.510565162951444E-2</c:v>
                </c:pt>
                <c:pt idx="163">
                  <c:v>-9.7814760073380039E-2</c:v>
                </c:pt>
                <c:pt idx="164">
                  <c:v>-9.9452189536827065E-2</c:v>
                </c:pt>
                <c:pt idx="165">
                  <c:v>-9.9999999999999992E-2</c:v>
                </c:pt>
                <c:pt idx="166">
                  <c:v>-9.9452189536827565E-2</c:v>
                </c:pt>
                <c:pt idx="167">
                  <c:v>-9.7814760073381024E-2</c:v>
                </c:pt>
                <c:pt idx="168">
                  <c:v>-9.5105651629516036E-2</c:v>
                </c:pt>
                <c:pt idx="169">
                  <c:v>-9.1354545764260955E-2</c:v>
                </c:pt>
                <c:pt idx="170">
                  <c:v>-8.6602540378444712E-2</c:v>
                </c:pt>
                <c:pt idx="171">
                  <c:v>-8.0901699437495714E-2</c:v>
                </c:pt>
                <c:pt idx="172">
                  <c:v>-7.4314482547740493E-2</c:v>
                </c:pt>
                <c:pt idx="173">
                  <c:v>-6.6913060635886978E-2</c:v>
                </c:pt>
                <c:pt idx="174">
                  <c:v>-5.8778525229248521E-2</c:v>
                </c:pt>
                <c:pt idx="175">
                  <c:v>-5.0000000000001238E-2</c:v>
                </c:pt>
                <c:pt idx="176">
                  <c:v>-4.0673664307580952E-2</c:v>
                </c:pt>
                <c:pt idx="177">
                  <c:v>-3.0901699437495652E-2</c:v>
                </c:pt>
                <c:pt idx="178">
                  <c:v>-2.0791169081776816E-2</c:v>
                </c:pt>
                <c:pt idx="179">
                  <c:v>-1.0452846326766184E-2</c:v>
                </c:pt>
                <c:pt idx="180">
                  <c:v>-7.8405164305461733E-16</c:v>
                </c:pt>
                <c:pt idx="181">
                  <c:v>1.0452846326764624E-2</c:v>
                </c:pt>
                <c:pt idx="182">
                  <c:v>2.0791169081775279E-2</c:v>
                </c:pt>
                <c:pt idx="183">
                  <c:v>3.0901699437494497E-2</c:v>
                </c:pt>
                <c:pt idx="184">
                  <c:v>4.0673664307579842E-2</c:v>
                </c:pt>
                <c:pt idx="185">
                  <c:v>4.9999999999999878E-2</c:v>
                </c:pt>
                <c:pt idx="186">
                  <c:v>5.8778525229247244E-2</c:v>
                </c:pt>
                <c:pt idx="187">
                  <c:v>6.6913060635885813E-2</c:v>
                </c:pt>
                <c:pt idx="188">
                  <c:v>7.4314482547739438E-2</c:v>
                </c:pt>
                <c:pt idx="189">
                  <c:v>8.0901699437494798E-2</c:v>
                </c:pt>
                <c:pt idx="190">
                  <c:v>8.6602540378444115E-2</c:v>
                </c:pt>
                <c:pt idx="191">
                  <c:v>9.1354545764260317E-2</c:v>
                </c:pt>
                <c:pt idx="192">
                  <c:v>9.510565162951555E-2</c:v>
                </c:pt>
                <c:pt idx="193">
                  <c:v>9.7814760073380691E-2</c:v>
                </c:pt>
                <c:pt idx="194">
                  <c:v>9.9452189536827398E-2</c:v>
                </c:pt>
                <c:pt idx="195">
                  <c:v>9.9999999999999992E-2</c:v>
                </c:pt>
                <c:pt idx="196">
                  <c:v>9.9452189536827232E-2</c:v>
                </c:pt>
                <c:pt idx="197">
                  <c:v>9.7814760073380289E-2</c:v>
                </c:pt>
                <c:pt idx="198">
                  <c:v>9.510565162951494E-2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4D-47E5-BBDA-2405EA155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51968"/>
        <c:axId val="61253888"/>
      </c:scatterChart>
      <c:valAx>
        <c:axId val="61251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/>
                  <a:t>t</a:t>
                </a:r>
                <a:r>
                  <a:rPr lang="ru-RU" sz="1400"/>
                  <a:t>,сек</a:t>
                </a:r>
              </a:p>
            </c:rich>
          </c:tx>
          <c:layout>
            <c:manualLayout>
              <c:xMode val="edge"/>
              <c:yMode val="edge"/>
              <c:x val="0.88244367552597669"/>
              <c:y val="0.4654244551173747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25400">
            <a:solidFill>
              <a:sysClr val="windowText" lastClr="000000"/>
            </a:solidFill>
            <a:tailEnd type="triangle"/>
          </a:ln>
        </c:spPr>
        <c:crossAx val="61253888"/>
        <c:crosses val="autoZero"/>
        <c:crossBetween val="midCat"/>
      </c:valAx>
      <c:valAx>
        <c:axId val="6125388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sz="1400"/>
                  <a:t>I</a:t>
                </a:r>
                <a:r>
                  <a:rPr lang="ru-RU" sz="1400"/>
                  <a:t>,А</a:t>
                </a:r>
              </a:p>
            </c:rich>
          </c:tx>
          <c:layout>
            <c:manualLayout>
              <c:xMode val="edge"/>
              <c:yMode val="edge"/>
              <c:x val="0.1036410488725167"/>
              <c:y val="0.172708769884615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25400">
            <a:solidFill>
              <a:sysClr val="windowText" lastClr="000000"/>
            </a:solidFill>
            <a:tailEnd type="triangle"/>
          </a:ln>
        </c:spPr>
        <c:crossAx val="612519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График</a:t>
            </a:r>
            <a:r>
              <a:rPr lang="ru-RU" baseline="0"/>
              <a:t> зависимости напряжения от времени</a:t>
            </a:r>
            <a:endParaRPr lang="ru-RU"/>
          </a:p>
        </c:rich>
      </c:tx>
      <c:layout>
        <c:manualLayout>
          <c:xMode val="edge"/>
          <c:yMode val="edge"/>
          <c:x val="0.13458836569731572"/>
          <c:y val="1.737245797736956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211351706036746"/>
          <c:y val="0.22954850513392666"/>
          <c:w val="0.84325459317585305"/>
          <c:h val="0.654055246351535"/>
        </c:manualLayout>
      </c:layout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Лист1!$A$2:$A$200</c:f>
              <c:numCache>
                <c:formatCode>General</c:formatCode>
                <c:ptCount val="199"/>
                <c:pt idx="0">
                  <c:v>0</c:v>
                </c:pt>
                <c:pt idx="1">
                  <c:v>1.0471975511965977E-4</c:v>
                </c:pt>
                <c:pt idx="2">
                  <c:v>2.0943951023931953E-4</c:v>
                </c:pt>
                <c:pt idx="3">
                  <c:v>3.1415926535897931E-4</c:v>
                </c:pt>
                <c:pt idx="4">
                  <c:v>4.1887902047863906E-4</c:v>
                </c:pt>
                <c:pt idx="5">
                  <c:v>5.2359877559829881E-4</c:v>
                </c:pt>
                <c:pt idx="6">
                  <c:v>6.2831853071795862E-4</c:v>
                </c:pt>
                <c:pt idx="7">
                  <c:v>7.3303828583761842E-4</c:v>
                </c:pt>
                <c:pt idx="8">
                  <c:v>8.3775804095727823E-4</c:v>
                </c:pt>
                <c:pt idx="9">
                  <c:v>9.4247779607693804E-4</c:v>
                </c:pt>
                <c:pt idx="10">
                  <c:v>1.0471975511965978E-3</c:v>
                </c:pt>
                <c:pt idx="11">
                  <c:v>1.1519173063162576E-3</c:v>
                </c:pt>
                <c:pt idx="12">
                  <c:v>1.2566370614359175E-3</c:v>
                </c:pt>
                <c:pt idx="13">
                  <c:v>1.3613568165555773E-3</c:v>
                </c:pt>
                <c:pt idx="14">
                  <c:v>1.4660765716752371E-3</c:v>
                </c:pt>
                <c:pt idx="15">
                  <c:v>1.5707963267948969E-3</c:v>
                </c:pt>
                <c:pt idx="16">
                  <c:v>1.6755160819145567E-3</c:v>
                </c:pt>
                <c:pt idx="17">
                  <c:v>1.7802358370342165E-3</c:v>
                </c:pt>
                <c:pt idx="18">
                  <c:v>1.8849555921538763E-3</c:v>
                </c:pt>
                <c:pt idx="19">
                  <c:v>1.9896753472735361E-3</c:v>
                </c:pt>
                <c:pt idx="20">
                  <c:v>2.0943951023931957E-3</c:v>
                </c:pt>
                <c:pt idx="21">
                  <c:v>2.1991148575128553E-3</c:v>
                </c:pt>
                <c:pt idx="22">
                  <c:v>2.3038346126325149E-3</c:v>
                </c:pt>
                <c:pt idx="23">
                  <c:v>2.4085543677521744E-3</c:v>
                </c:pt>
                <c:pt idx="24">
                  <c:v>2.513274122871834E-3</c:v>
                </c:pt>
                <c:pt idx="25">
                  <c:v>2.6179938779914936E-3</c:v>
                </c:pt>
                <c:pt idx="26">
                  <c:v>2.7227136331111532E-3</c:v>
                </c:pt>
                <c:pt idx="27">
                  <c:v>2.8274333882308128E-3</c:v>
                </c:pt>
                <c:pt idx="28">
                  <c:v>2.9321531433504724E-3</c:v>
                </c:pt>
                <c:pt idx="29">
                  <c:v>3.036872898470132E-3</c:v>
                </c:pt>
                <c:pt idx="30">
                  <c:v>3.1415926535897916E-3</c:v>
                </c:pt>
                <c:pt idx="31">
                  <c:v>3.2463124087094512E-3</c:v>
                </c:pt>
                <c:pt idx="32">
                  <c:v>3.3510321638291108E-3</c:v>
                </c:pt>
                <c:pt idx="33">
                  <c:v>3.4557519189487703E-3</c:v>
                </c:pt>
                <c:pt idx="34">
                  <c:v>3.5604716740684299E-3</c:v>
                </c:pt>
                <c:pt idx="35">
                  <c:v>3.6651914291880895E-3</c:v>
                </c:pt>
                <c:pt idx="36">
                  <c:v>3.7699111843077491E-3</c:v>
                </c:pt>
                <c:pt idx="37">
                  <c:v>3.8746309394274087E-3</c:v>
                </c:pt>
                <c:pt idx="38">
                  <c:v>3.9793506945470687E-3</c:v>
                </c:pt>
                <c:pt idx="39">
                  <c:v>4.0840704496667287E-3</c:v>
                </c:pt>
                <c:pt idx="40">
                  <c:v>4.1887902047863888E-3</c:v>
                </c:pt>
                <c:pt idx="41">
                  <c:v>4.2935099599060488E-3</c:v>
                </c:pt>
                <c:pt idx="42">
                  <c:v>4.3982297150257088E-3</c:v>
                </c:pt>
                <c:pt idx="43">
                  <c:v>4.5029494701453688E-3</c:v>
                </c:pt>
                <c:pt idx="44">
                  <c:v>4.6076692252650289E-3</c:v>
                </c:pt>
                <c:pt idx="45">
                  <c:v>4.7123889803846889E-3</c:v>
                </c:pt>
                <c:pt idx="46">
                  <c:v>4.8171087355043489E-3</c:v>
                </c:pt>
                <c:pt idx="47">
                  <c:v>4.9218284906240089E-3</c:v>
                </c:pt>
                <c:pt idx="48">
                  <c:v>5.0265482457436689E-3</c:v>
                </c:pt>
                <c:pt idx="49">
                  <c:v>5.131268000863329E-3</c:v>
                </c:pt>
                <c:pt idx="50">
                  <c:v>5.235987755982989E-3</c:v>
                </c:pt>
                <c:pt idx="51">
                  <c:v>5.340707511102649E-3</c:v>
                </c:pt>
                <c:pt idx="52">
                  <c:v>5.445427266222309E-3</c:v>
                </c:pt>
                <c:pt idx="53">
                  <c:v>5.5501470213419691E-3</c:v>
                </c:pt>
                <c:pt idx="54">
                  <c:v>5.6548667764616291E-3</c:v>
                </c:pt>
                <c:pt idx="55">
                  <c:v>5.7595865315812891E-3</c:v>
                </c:pt>
                <c:pt idx="56">
                  <c:v>5.8643062867009491E-3</c:v>
                </c:pt>
                <c:pt idx="57">
                  <c:v>5.9690260418206091E-3</c:v>
                </c:pt>
                <c:pt idx="58">
                  <c:v>6.0737457969402692E-3</c:v>
                </c:pt>
                <c:pt idx="59">
                  <c:v>6.1784655520599292E-3</c:v>
                </c:pt>
                <c:pt idx="60">
                  <c:v>6.2831853071795892E-3</c:v>
                </c:pt>
                <c:pt idx="61">
                  <c:v>6.3879050622992492E-3</c:v>
                </c:pt>
                <c:pt idx="62">
                  <c:v>6.4926248174189093E-3</c:v>
                </c:pt>
                <c:pt idx="63">
                  <c:v>6.5973445725385693E-3</c:v>
                </c:pt>
                <c:pt idx="64">
                  <c:v>6.7020643276582293E-3</c:v>
                </c:pt>
                <c:pt idx="65">
                  <c:v>6.8067840827778893E-3</c:v>
                </c:pt>
                <c:pt idx="66">
                  <c:v>6.9115038378975494E-3</c:v>
                </c:pt>
                <c:pt idx="67">
                  <c:v>7.0162235930172094E-3</c:v>
                </c:pt>
                <c:pt idx="68">
                  <c:v>7.1209433481368694E-3</c:v>
                </c:pt>
                <c:pt idx="69">
                  <c:v>7.2256631032565294E-3</c:v>
                </c:pt>
                <c:pt idx="70">
                  <c:v>7.3303828583761894E-3</c:v>
                </c:pt>
                <c:pt idx="71">
                  <c:v>7.4351026134958495E-3</c:v>
                </c:pt>
                <c:pt idx="72">
                  <c:v>7.5398223686155095E-3</c:v>
                </c:pt>
                <c:pt idx="73">
                  <c:v>7.6445421237351695E-3</c:v>
                </c:pt>
                <c:pt idx="74">
                  <c:v>7.7492618788548295E-3</c:v>
                </c:pt>
                <c:pt idx="75">
                  <c:v>7.8539816339744887E-3</c:v>
                </c:pt>
                <c:pt idx="76">
                  <c:v>7.9587013890941478E-3</c:v>
                </c:pt>
                <c:pt idx="77">
                  <c:v>8.063421144213807E-3</c:v>
                </c:pt>
                <c:pt idx="78">
                  <c:v>8.1681408993334662E-3</c:v>
                </c:pt>
                <c:pt idx="79">
                  <c:v>8.2728606544531253E-3</c:v>
                </c:pt>
                <c:pt idx="80">
                  <c:v>8.3775804095727845E-3</c:v>
                </c:pt>
                <c:pt idx="81">
                  <c:v>8.4823001646924436E-3</c:v>
                </c:pt>
                <c:pt idx="82">
                  <c:v>8.5870199198121028E-3</c:v>
                </c:pt>
                <c:pt idx="83">
                  <c:v>8.6917396749317619E-3</c:v>
                </c:pt>
                <c:pt idx="84">
                  <c:v>8.7964594300514211E-3</c:v>
                </c:pt>
                <c:pt idx="85">
                  <c:v>8.9011791851710802E-3</c:v>
                </c:pt>
                <c:pt idx="86">
                  <c:v>9.0058989402907394E-3</c:v>
                </c:pt>
                <c:pt idx="87">
                  <c:v>9.1106186954103986E-3</c:v>
                </c:pt>
                <c:pt idx="88">
                  <c:v>9.2153384505300577E-3</c:v>
                </c:pt>
                <c:pt idx="89">
                  <c:v>9.3200582056497169E-3</c:v>
                </c:pt>
                <c:pt idx="90">
                  <c:v>9.424777960769376E-3</c:v>
                </c:pt>
                <c:pt idx="91">
                  <c:v>9.5294977158890352E-3</c:v>
                </c:pt>
                <c:pt idx="92">
                  <c:v>9.6342174710086943E-3</c:v>
                </c:pt>
                <c:pt idx="93">
                  <c:v>9.7389372261283535E-3</c:v>
                </c:pt>
                <c:pt idx="94">
                  <c:v>9.8436569812480126E-3</c:v>
                </c:pt>
                <c:pt idx="95">
                  <c:v>9.9483767363676718E-3</c:v>
                </c:pt>
                <c:pt idx="96">
                  <c:v>1.0053096491487331E-2</c:v>
                </c:pt>
                <c:pt idx="97">
                  <c:v>1.015781624660699E-2</c:v>
                </c:pt>
                <c:pt idx="98">
                  <c:v>1.0262536001726649E-2</c:v>
                </c:pt>
                <c:pt idx="99">
                  <c:v>1.0367255756846308E-2</c:v>
                </c:pt>
                <c:pt idx="100">
                  <c:v>1.0471975511965968E-2</c:v>
                </c:pt>
                <c:pt idx="101">
                  <c:v>1.0576695267085627E-2</c:v>
                </c:pt>
                <c:pt idx="102">
                  <c:v>1.0681415022205286E-2</c:v>
                </c:pt>
                <c:pt idx="103">
                  <c:v>1.0786134777324945E-2</c:v>
                </c:pt>
                <c:pt idx="104">
                  <c:v>1.0890854532444604E-2</c:v>
                </c:pt>
                <c:pt idx="105">
                  <c:v>1.0995574287564263E-2</c:v>
                </c:pt>
                <c:pt idx="106">
                  <c:v>1.1100294042683923E-2</c:v>
                </c:pt>
                <c:pt idx="107">
                  <c:v>1.1205013797803582E-2</c:v>
                </c:pt>
                <c:pt idx="108">
                  <c:v>1.1309733552923241E-2</c:v>
                </c:pt>
                <c:pt idx="109">
                  <c:v>1.14144533080429E-2</c:v>
                </c:pt>
                <c:pt idx="110">
                  <c:v>1.1519173063162559E-2</c:v>
                </c:pt>
                <c:pt idx="111">
                  <c:v>1.1623892818282218E-2</c:v>
                </c:pt>
                <c:pt idx="112">
                  <c:v>1.1728612573401877E-2</c:v>
                </c:pt>
                <c:pt idx="113">
                  <c:v>1.1833332328521537E-2</c:v>
                </c:pt>
                <c:pt idx="114">
                  <c:v>1.1938052083641196E-2</c:v>
                </c:pt>
                <c:pt idx="115">
                  <c:v>1.2042771838760855E-2</c:v>
                </c:pt>
                <c:pt idx="116">
                  <c:v>1.2147491593880514E-2</c:v>
                </c:pt>
                <c:pt idx="117">
                  <c:v>1.2252211349000173E-2</c:v>
                </c:pt>
                <c:pt idx="118">
                  <c:v>1.2356931104119832E-2</c:v>
                </c:pt>
                <c:pt idx="119">
                  <c:v>1.2461650859239492E-2</c:v>
                </c:pt>
                <c:pt idx="120">
                  <c:v>1.2566370614359151E-2</c:v>
                </c:pt>
                <c:pt idx="121">
                  <c:v>1.267109036947881E-2</c:v>
                </c:pt>
                <c:pt idx="122">
                  <c:v>1.2775810124598469E-2</c:v>
                </c:pt>
                <c:pt idx="123">
                  <c:v>1.2880529879718128E-2</c:v>
                </c:pt>
                <c:pt idx="124">
                  <c:v>1.2985249634837787E-2</c:v>
                </c:pt>
                <c:pt idx="125">
                  <c:v>1.3089969389957446E-2</c:v>
                </c:pt>
                <c:pt idx="126">
                  <c:v>1.3194689145077106E-2</c:v>
                </c:pt>
                <c:pt idx="127">
                  <c:v>1.3299408900196765E-2</c:v>
                </c:pt>
                <c:pt idx="128">
                  <c:v>1.3404128655316424E-2</c:v>
                </c:pt>
                <c:pt idx="129">
                  <c:v>1.3508848410436083E-2</c:v>
                </c:pt>
                <c:pt idx="130">
                  <c:v>1.3613568165555742E-2</c:v>
                </c:pt>
                <c:pt idx="131">
                  <c:v>1.3718287920675401E-2</c:v>
                </c:pt>
                <c:pt idx="132">
                  <c:v>1.3823007675795061E-2</c:v>
                </c:pt>
                <c:pt idx="133">
                  <c:v>1.392772743091472E-2</c:v>
                </c:pt>
                <c:pt idx="134">
                  <c:v>1.4032447186034379E-2</c:v>
                </c:pt>
                <c:pt idx="135">
                  <c:v>1.4137166941154038E-2</c:v>
                </c:pt>
                <c:pt idx="136">
                  <c:v>1.4241886696273697E-2</c:v>
                </c:pt>
                <c:pt idx="137">
                  <c:v>1.4346606451393356E-2</c:v>
                </c:pt>
                <c:pt idx="138">
                  <c:v>1.4451326206513015E-2</c:v>
                </c:pt>
                <c:pt idx="139">
                  <c:v>1.4556045961632675E-2</c:v>
                </c:pt>
                <c:pt idx="140">
                  <c:v>1.4660765716752334E-2</c:v>
                </c:pt>
                <c:pt idx="141">
                  <c:v>1.4765485471871993E-2</c:v>
                </c:pt>
                <c:pt idx="142">
                  <c:v>1.4870205226991652E-2</c:v>
                </c:pt>
                <c:pt idx="143">
                  <c:v>1.4974924982111311E-2</c:v>
                </c:pt>
                <c:pt idx="144">
                  <c:v>1.507964473723097E-2</c:v>
                </c:pt>
                <c:pt idx="145">
                  <c:v>1.518436449235063E-2</c:v>
                </c:pt>
                <c:pt idx="146">
                  <c:v>1.5289084247470289E-2</c:v>
                </c:pt>
                <c:pt idx="147">
                  <c:v>1.5393804002589948E-2</c:v>
                </c:pt>
                <c:pt idx="148">
                  <c:v>1.5498523757709607E-2</c:v>
                </c:pt>
                <c:pt idx="149">
                  <c:v>1.5603243512829266E-2</c:v>
                </c:pt>
                <c:pt idx="150">
                  <c:v>1.5707963267948925E-2</c:v>
                </c:pt>
                <c:pt idx="151">
                  <c:v>1.5812683023068586E-2</c:v>
                </c:pt>
                <c:pt idx="152">
                  <c:v>1.5917402778188247E-2</c:v>
                </c:pt>
                <c:pt idx="153">
                  <c:v>1.6022122533307908E-2</c:v>
                </c:pt>
                <c:pt idx="154">
                  <c:v>1.6126842288427569E-2</c:v>
                </c:pt>
                <c:pt idx="155">
                  <c:v>1.623156204354723E-2</c:v>
                </c:pt>
                <c:pt idx="156">
                  <c:v>1.6336281798666891E-2</c:v>
                </c:pt>
                <c:pt idx="157">
                  <c:v>1.6441001553786552E-2</c:v>
                </c:pt>
                <c:pt idx="158">
                  <c:v>1.6545721308906212E-2</c:v>
                </c:pt>
                <c:pt idx="159">
                  <c:v>1.6650441064025873E-2</c:v>
                </c:pt>
                <c:pt idx="160">
                  <c:v>1.6755160819145534E-2</c:v>
                </c:pt>
                <c:pt idx="161">
                  <c:v>1.6859880574265195E-2</c:v>
                </c:pt>
                <c:pt idx="162">
                  <c:v>1.6964600329384856E-2</c:v>
                </c:pt>
                <c:pt idx="163">
                  <c:v>1.7069320084504517E-2</c:v>
                </c:pt>
                <c:pt idx="164">
                  <c:v>1.7174039839624178E-2</c:v>
                </c:pt>
                <c:pt idx="165">
                  <c:v>1.7278759594743839E-2</c:v>
                </c:pt>
                <c:pt idx="166">
                  <c:v>1.73834793498635E-2</c:v>
                </c:pt>
                <c:pt idx="167">
                  <c:v>1.748819910498316E-2</c:v>
                </c:pt>
                <c:pt idx="168">
                  <c:v>1.7592918860102821E-2</c:v>
                </c:pt>
                <c:pt idx="169">
                  <c:v>1.7697638615222482E-2</c:v>
                </c:pt>
                <c:pt idx="170">
                  <c:v>1.7802358370342143E-2</c:v>
                </c:pt>
                <c:pt idx="171">
                  <c:v>1.7907078125461804E-2</c:v>
                </c:pt>
                <c:pt idx="172">
                  <c:v>1.8011797880581465E-2</c:v>
                </c:pt>
                <c:pt idx="173">
                  <c:v>1.8116517635701126E-2</c:v>
                </c:pt>
                <c:pt idx="174">
                  <c:v>1.8221237390820787E-2</c:v>
                </c:pt>
                <c:pt idx="175">
                  <c:v>1.8325957145940448E-2</c:v>
                </c:pt>
                <c:pt idx="176">
                  <c:v>1.8430676901060108E-2</c:v>
                </c:pt>
                <c:pt idx="177">
                  <c:v>1.8535396656179769E-2</c:v>
                </c:pt>
                <c:pt idx="178">
                  <c:v>1.864011641129943E-2</c:v>
                </c:pt>
                <c:pt idx="179">
                  <c:v>1.8744836166419091E-2</c:v>
                </c:pt>
                <c:pt idx="180">
                  <c:v>1.8849555921538752E-2</c:v>
                </c:pt>
                <c:pt idx="181">
                  <c:v>1.8954275676658413E-2</c:v>
                </c:pt>
                <c:pt idx="182">
                  <c:v>1.9058995431778074E-2</c:v>
                </c:pt>
                <c:pt idx="183">
                  <c:v>1.9163715186897735E-2</c:v>
                </c:pt>
                <c:pt idx="184">
                  <c:v>1.9268434942017396E-2</c:v>
                </c:pt>
                <c:pt idx="185">
                  <c:v>1.9373154697137056E-2</c:v>
                </c:pt>
                <c:pt idx="186">
                  <c:v>1.9477874452256717E-2</c:v>
                </c:pt>
                <c:pt idx="187">
                  <c:v>1.9582594207376378E-2</c:v>
                </c:pt>
                <c:pt idx="188">
                  <c:v>1.9687313962496039E-2</c:v>
                </c:pt>
                <c:pt idx="189">
                  <c:v>1.97920337176157E-2</c:v>
                </c:pt>
                <c:pt idx="190">
                  <c:v>1.9896753472735361E-2</c:v>
                </c:pt>
                <c:pt idx="191">
                  <c:v>2.0001473227855022E-2</c:v>
                </c:pt>
                <c:pt idx="192">
                  <c:v>2.0106192982974683E-2</c:v>
                </c:pt>
                <c:pt idx="193">
                  <c:v>2.0210912738094344E-2</c:v>
                </c:pt>
                <c:pt idx="194">
                  <c:v>2.0315632493214004E-2</c:v>
                </c:pt>
                <c:pt idx="195">
                  <c:v>2.0420352248333665E-2</c:v>
                </c:pt>
                <c:pt idx="196">
                  <c:v>2.0525072003453326E-2</c:v>
                </c:pt>
                <c:pt idx="197">
                  <c:v>2.0629791758572987E-2</c:v>
                </c:pt>
                <c:pt idx="198">
                  <c:v>2.0734511513692648E-2</c:v>
                </c:pt>
              </c:numCache>
            </c:numRef>
          </c:xVal>
          <c:yVal>
            <c:numRef>
              <c:f>Лист1!$D$2:$D$200</c:f>
              <c:numCache>
                <c:formatCode>General</c:formatCode>
                <c:ptCount val="199"/>
                <c:pt idx="0">
                  <c:v>0</c:v>
                </c:pt>
                <c:pt idx="1">
                  <c:v>0.54781046317267101</c:v>
                </c:pt>
                <c:pt idx="2">
                  <c:v>2.1852399266194311</c:v>
                </c:pt>
                <c:pt idx="3">
                  <c:v>4.8943483704846464</c:v>
                </c:pt>
                <c:pt idx="4">
                  <c:v>8.6454542357399138</c:v>
                </c:pt>
                <c:pt idx="5">
                  <c:v>13.397459621556129</c:v>
                </c:pt>
                <c:pt idx="6">
                  <c:v>19.098300562505255</c:v>
                </c:pt>
                <c:pt idx="7">
                  <c:v>25.685517452260576</c:v>
                </c:pt>
                <c:pt idx="8">
                  <c:v>33.086939364114173</c:v>
                </c:pt>
                <c:pt idx="9">
                  <c:v>41.221474770752693</c:v>
                </c:pt>
                <c:pt idx="10">
                  <c:v>50.000000000000014</c:v>
                </c:pt>
                <c:pt idx="11">
                  <c:v>59.326335692419981</c:v>
                </c:pt>
                <c:pt idx="12">
                  <c:v>69.098300562505273</c:v>
                </c:pt>
                <c:pt idx="13">
                  <c:v>79.208830918224066</c:v>
                </c:pt>
                <c:pt idx="14">
                  <c:v>89.547153673234675</c:v>
                </c:pt>
                <c:pt idx="15">
                  <c:v>100.00000000000003</c:v>
                </c:pt>
                <c:pt idx="16">
                  <c:v>110.45284632676537</c:v>
                </c:pt>
                <c:pt idx="17">
                  <c:v>120.79116908177596</c:v>
                </c:pt>
                <c:pt idx="18">
                  <c:v>130.90169943749478</c:v>
                </c:pt>
                <c:pt idx="19">
                  <c:v>140.67366430758005</c:v>
                </c:pt>
                <c:pt idx="20">
                  <c:v>150.00000000000003</c:v>
                </c:pt>
                <c:pt idx="21">
                  <c:v>158.77852522924726</c:v>
                </c:pt>
                <c:pt idx="22">
                  <c:v>166.91306063588578</c:v>
                </c:pt>
                <c:pt idx="23">
                  <c:v>174.3144825477394</c:v>
                </c:pt>
                <c:pt idx="24">
                  <c:v>180.9016994374947</c:v>
                </c:pt>
                <c:pt idx="25">
                  <c:v>186.60254037844385</c:v>
                </c:pt>
                <c:pt idx="26">
                  <c:v>191.35454576426002</c:v>
                </c:pt>
                <c:pt idx="27">
                  <c:v>195.10565162951531</c:v>
                </c:pt>
                <c:pt idx="28">
                  <c:v>197.81476007338051</c:v>
                </c:pt>
                <c:pt idx="29">
                  <c:v>199.45218953682729</c:v>
                </c:pt>
                <c:pt idx="30">
                  <c:v>200</c:v>
                </c:pt>
                <c:pt idx="31">
                  <c:v>199.45218953682735</c:v>
                </c:pt>
                <c:pt idx="32">
                  <c:v>197.81476007338063</c:v>
                </c:pt>
                <c:pt idx="33">
                  <c:v>195.10565162951542</c:v>
                </c:pt>
                <c:pt idx="34">
                  <c:v>191.35454576426017</c:v>
                </c:pt>
                <c:pt idx="35">
                  <c:v>186.60254037844396</c:v>
                </c:pt>
                <c:pt idx="36">
                  <c:v>180.9016994374949</c:v>
                </c:pt>
                <c:pt idx="37">
                  <c:v>174.3144825477396</c:v>
                </c:pt>
                <c:pt idx="38">
                  <c:v>166.91306063588601</c:v>
                </c:pt>
                <c:pt idx="39">
                  <c:v>158.77852522924755</c:v>
                </c:pt>
                <c:pt idx="40">
                  <c:v>150.00000000000017</c:v>
                </c:pt>
                <c:pt idx="41">
                  <c:v>140.67366430758017</c:v>
                </c:pt>
                <c:pt idx="42">
                  <c:v>130.9016994374949</c:v>
                </c:pt>
                <c:pt idx="43">
                  <c:v>120.79116908177606</c:v>
                </c:pt>
                <c:pt idx="44">
                  <c:v>110.4528463267655</c:v>
                </c:pt>
                <c:pt idx="45">
                  <c:v>100.0000000000001</c:v>
                </c:pt>
                <c:pt idx="46">
                  <c:v>89.547153673234689</c:v>
                </c:pt>
                <c:pt idx="47">
                  <c:v>79.208830918224137</c:v>
                </c:pt>
                <c:pt idx="48">
                  <c:v>69.098300562505273</c:v>
                </c:pt>
                <c:pt idx="49">
                  <c:v>59.326335692419939</c:v>
                </c:pt>
                <c:pt idx="50">
                  <c:v>49.999999999999986</c:v>
                </c:pt>
                <c:pt idx="51">
                  <c:v>41.221474770752629</c:v>
                </c:pt>
                <c:pt idx="52">
                  <c:v>33.086939364114151</c:v>
                </c:pt>
                <c:pt idx="53">
                  <c:v>25.685517452260505</c:v>
                </c:pt>
                <c:pt idx="54">
                  <c:v>19.098300562505166</c:v>
                </c:pt>
                <c:pt idx="55">
                  <c:v>13.397459621556074</c:v>
                </c:pt>
                <c:pt idx="56">
                  <c:v>8.6454542357398356</c:v>
                </c:pt>
                <c:pt idx="57">
                  <c:v>4.8943483704845692</c:v>
                </c:pt>
                <c:pt idx="58">
                  <c:v>2.1852399266193867</c:v>
                </c:pt>
                <c:pt idx="59">
                  <c:v>0.5478104631726376</c:v>
                </c:pt>
                <c:pt idx="60">
                  <c:v>0</c:v>
                </c:pt>
                <c:pt idx="61">
                  <c:v>0.54781046317269322</c:v>
                </c:pt>
                <c:pt idx="62">
                  <c:v>2.1852399266195084</c:v>
                </c:pt>
                <c:pt idx="63">
                  <c:v>4.8943483704847468</c:v>
                </c:pt>
                <c:pt idx="64">
                  <c:v>8.6454542357400683</c:v>
                </c:pt>
                <c:pt idx="65">
                  <c:v>13.397459621556317</c:v>
                </c:pt>
                <c:pt idx="66">
                  <c:v>19.098300562505496</c:v>
                </c:pt>
                <c:pt idx="67">
                  <c:v>25.685517452260896</c:v>
                </c:pt>
                <c:pt idx="68">
                  <c:v>33.086939364114507</c:v>
                </c:pt>
                <c:pt idx="69">
                  <c:v>41.22147477075309</c:v>
                </c:pt>
                <c:pt idx="70">
                  <c:v>50.000000000000483</c:v>
                </c:pt>
                <c:pt idx="71">
                  <c:v>59.326335692420471</c:v>
                </c:pt>
                <c:pt idx="72">
                  <c:v>69.098300562505813</c:v>
                </c:pt>
                <c:pt idx="73">
                  <c:v>79.208830918224621</c:v>
                </c:pt>
                <c:pt idx="74">
                  <c:v>89.547153673235258</c:v>
                </c:pt>
                <c:pt idx="75">
                  <c:v>100.0000000000006</c:v>
                </c:pt>
                <c:pt idx="76">
                  <c:v>110.45284632676581</c:v>
                </c:pt>
                <c:pt idx="77">
                  <c:v>120.79116908177635</c:v>
                </c:pt>
                <c:pt idx="78">
                  <c:v>130.90169943749504</c:v>
                </c:pt>
                <c:pt idx="79">
                  <c:v>140.67366430758037</c:v>
                </c:pt>
                <c:pt idx="80">
                  <c:v>150.0000000000002</c:v>
                </c:pt>
                <c:pt idx="81">
                  <c:v>158.77852522924741</c:v>
                </c:pt>
                <c:pt idx="82">
                  <c:v>166.91306063588596</c:v>
                </c:pt>
                <c:pt idx="83">
                  <c:v>174.31448254773946</c:v>
                </c:pt>
                <c:pt idx="84">
                  <c:v>180.90169943749473</c:v>
                </c:pt>
                <c:pt idx="85">
                  <c:v>186.60254037844388</c:v>
                </c:pt>
                <c:pt idx="86">
                  <c:v>191.35454576426005</c:v>
                </c:pt>
                <c:pt idx="87">
                  <c:v>195.10565162951528</c:v>
                </c:pt>
                <c:pt idx="88">
                  <c:v>197.81476007338048</c:v>
                </c:pt>
                <c:pt idx="89">
                  <c:v>199.45218953682729</c:v>
                </c:pt>
                <c:pt idx="90">
                  <c:v>200</c:v>
                </c:pt>
                <c:pt idx="91">
                  <c:v>199.45218953682738</c:v>
                </c:pt>
                <c:pt idx="92">
                  <c:v>197.81476007338065</c:v>
                </c:pt>
                <c:pt idx="93">
                  <c:v>195.10565162951553</c:v>
                </c:pt>
                <c:pt idx="94">
                  <c:v>191.35454576426037</c:v>
                </c:pt>
                <c:pt idx="95">
                  <c:v>186.60254037844419</c:v>
                </c:pt>
                <c:pt idx="96">
                  <c:v>180.90169943749518</c:v>
                </c:pt>
                <c:pt idx="97">
                  <c:v>174.31448254774</c:v>
                </c:pt>
                <c:pt idx="98">
                  <c:v>166.91306063588641</c:v>
                </c:pt>
                <c:pt idx="99">
                  <c:v>158.77852522924806</c:v>
                </c:pt>
                <c:pt idx="100">
                  <c:v>150.00000000000091</c:v>
                </c:pt>
                <c:pt idx="101">
                  <c:v>140.67366430758091</c:v>
                </c:pt>
                <c:pt idx="102">
                  <c:v>130.90169943749578</c:v>
                </c:pt>
                <c:pt idx="103">
                  <c:v>120.79116908177714</c:v>
                </c:pt>
                <c:pt idx="104">
                  <c:v>110.4528463267665</c:v>
                </c:pt>
                <c:pt idx="105">
                  <c:v>100.00000000000128</c:v>
                </c:pt>
                <c:pt idx="106">
                  <c:v>89.547153673236053</c:v>
                </c:pt>
                <c:pt idx="107">
                  <c:v>79.208830918225374</c:v>
                </c:pt>
                <c:pt idx="108">
                  <c:v>69.098300562506651</c:v>
                </c:pt>
                <c:pt idx="109">
                  <c:v>59.326335692421431</c:v>
                </c:pt>
                <c:pt idx="110">
                  <c:v>50.000000000001322</c:v>
                </c:pt>
                <c:pt idx="111">
                  <c:v>41.221474770754014</c:v>
                </c:pt>
                <c:pt idx="112">
                  <c:v>33.086939364115487</c:v>
                </c:pt>
                <c:pt idx="113">
                  <c:v>25.685517452261827</c:v>
                </c:pt>
                <c:pt idx="114">
                  <c:v>19.098300562506331</c:v>
                </c:pt>
                <c:pt idx="115">
                  <c:v>13.397459621557106</c:v>
                </c:pt>
                <c:pt idx="116">
                  <c:v>8.6454542357407451</c:v>
                </c:pt>
                <c:pt idx="117">
                  <c:v>4.8943483704852575</c:v>
                </c:pt>
                <c:pt idx="118">
                  <c:v>2.1852399266198748</c:v>
                </c:pt>
                <c:pt idx="119">
                  <c:v>0.54781046317290416</c:v>
                </c:pt>
                <c:pt idx="120">
                  <c:v>0</c:v>
                </c:pt>
                <c:pt idx="121">
                  <c:v>0.54781046317242676</c:v>
                </c:pt>
                <c:pt idx="122">
                  <c:v>2.1852399266189315</c:v>
                </c:pt>
                <c:pt idx="123">
                  <c:v>4.8943483704839146</c:v>
                </c:pt>
                <c:pt idx="124">
                  <c:v>8.645454235738903</c:v>
                </c:pt>
                <c:pt idx="125">
                  <c:v>13.397459621554841</c:v>
                </c:pt>
                <c:pt idx="126">
                  <c:v>19.098300562503766</c:v>
                </c:pt>
                <c:pt idx="127">
                  <c:v>25.6855174522588</c:v>
                </c:pt>
                <c:pt idx="128">
                  <c:v>33.086939364112112</c:v>
                </c:pt>
                <c:pt idx="129">
                  <c:v>41.221474770750483</c:v>
                </c:pt>
                <c:pt idx="130">
                  <c:v>49.999999999997542</c:v>
                </c:pt>
                <c:pt idx="131">
                  <c:v>59.326335692417274</c:v>
                </c:pt>
                <c:pt idx="132">
                  <c:v>69.098300562502502</c:v>
                </c:pt>
                <c:pt idx="133">
                  <c:v>79.208830918221125</c:v>
                </c:pt>
                <c:pt idx="134">
                  <c:v>89.547153673231534</c:v>
                </c:pt>
                <c:pt idx="135">
                  <c:v>99.999999999996916</c:v>
                </c:pt>
                <c:pt idx="136">
                  <c:v>110.45284632676217</c:v>
                </c:pt>
                <c:pt idx="137">
                  <c:v>120.79116908177269</c:v>
                </c:pt>
                <c:pt idx="138">
                  <c:v>130.90169943749163</c:v>
                </c:pt>
                <c:pt idx="139">
                  <c:v>140.67366430757696</c:v>
                </c:pt>
                <c:pt idx="140">
                  <c:v>149.99999999999699</c:v>
                </c:pt>
                <c:pt idx="141">
                  <c:v>158.77852522924439</c:v>
                </c:pt>
                <c:pt idx="142">
                  <c:v>166.91306063588317</c:v>
                </c:pt>
                <c:pt idx="143">
                  <c:v>174.31448254773696</c:v>
                </c:pt>
                <c:pt idx="144">
                  <c:v>180.90169943749251</c:v>
                </c:pt>
                <c:pt idx="145">
                  <c:v>186.602540378442</c:v>
                </c:pt>
                <c:pt idx="146">
                  <c:v>191.35454576425852</c:v>
                </c:pt>
                <c:pt idx="147">
                  <c:v>195.10565162951411</c:v>
                </c:pt>
                <c:pt idx="148">
                  <c:v>197.81476007337974</c:v>
                </c:pt>
                <c:pt idx="149">
                  <c:v>199.45218953682689</c:v>
                </c:pt>
                <c:pt idx="150">
                  <c:v>200</c:v>
                </c:pt>
                <c:pt idx="151">
                  <c:v>199.45218953682772</c:v>
                </c:pt>
                <c:pt idx="152">
                  <c:v>197.81476007338136</c:v>
                </c:pt>
                <c:pt idx="153">
                  <c:v>195.10565162951653</c:v>
                </c:pt>
                <c:pt idx="154">
                  <c:v>191.35454576426159</c:v>
                </c:pt>
                <c:pt idx="155">
                  <c:v>186.6025403784457</c:v>
                </c:pt>
                <c:pt idx="156">
                  <c:v>180.90169943749663</c:v>
                </c:pt>
                <c:pt idx="157">
                  <c:v>174.31448254774156</c:v>
                </c:pt>
                <c:pt idx="158">
                  <c:v>166.91306063588814</c:v>
                </c:pt>
                <c:pt idx="159">
                  <c:v>158.77852522924982</c:v>
                </c:pt>
                <c:pt idx="160">
                  <c:v>150.00000000000261</c:v>
                </c:pt>
                <c:pt idx="161">
                  <c:v>140.67366430758273</c:v>
                </c:pt>
                <c:pt idx="162">
                  <c:v>130.90169943749748</c:v>
                </c:pt>
                <c:pt idx="163">
                  <c:v>120.79116908177838</c:v>
                </c:pt>
                <c:pt idx="164">
                  <c:v>110.45284632676777</c:v>
                </c:pt>
                <c:pt idx="165">
                  <c:v>100.00000000000237</c:v>
                </c:pt>
                <c:pt idx="166">
                  <c:v>89.547153673236963</c:v>
                </c:pt>
                <c:pt idx="167">
                  <c:v>79.208830918226283</c:v>
                </c:pt>
                <c:pt idx="168">
                  <c:v>69.098300562507333</c:v>
                </c:pt>
                <c:pt idx="169">
                  <c:v>59.326335692421935</c:v>
                </c:pt>
                <c:pt idx="170">
                  <c:v>50.000000000001492</c:v>
                </c:pt>
                <c:pt idx="171">
                  <c:v>41.221474770754043</c:v>
                </c:pt>
                <c:pt idx="172">
                  <c:v>33.086939364115374</c:v>
                </c:pt>
                <c:pt idx="173">
                  <c:v>25.685517452261617</c:v>
                </c:pt>
                <c:pt idx="174">
                  <c:v>19.098300562506132</c:v>
                </c:pt>
                <c:pt idx="175">
                  <c:v>13.397459621556852</c:v>
                </c:pt>
                <c:pt idx="176">
                  <c:v>8.6454542357403223</c:v>
                </c:pt>
                <c:pt idx="177">
                  <c:v>4.894348370484936</c:v>
                </c:pt>
                <c:pt idx="178">
                  <c:v>2.1852399266196194</c:v>
                </c:pt>
                <c:pt idx="179">
                  <c:v>0.54781046317275983</c:v>
                </c:pt>
                <c:pt idx="180">
                  <c:v>0</c:v>
                </c:pt>
                <c:pt idx="181">
                  <c:v>0.5478104631725933</c:v>
                </c:pt>
                <c:pt idx="182">
                  <c:v>2.1852399266192979</c:v>
                </c:pt>
                <c:pt idx="183">
                  <c:v>4.8943483704845692</c:v>
                </c:pt>
                <c:pt idx="184">
                  <c:v>8.6454542357398356</c:v>
                </c:pt>
                <c:pt idx="185">
                  <c:v>13.397459621556061</c:v>
                </c:pt>
                <c:pt idx="186">
                  <c:v>19.098300562505209</c:v>
                </c:pt>
                <c:pt idx="187">
                  <c:v>25.685517452260566</c:v>
                </c:pt>
                <c:pt idx="188">
                  <c:v>33.086939364114208</c:v>
                </c:pt>
                <c:pt idx="189">
                  <c:v>41.221474770752764</c:v>
                </c:pt>
                <c:pt idx="190">
                  <c:v>50.000000000000448</c:v>
                </c:pt>
                <c:pt idx="191">
                  <c:v>59.326335692420493</c:v>
                </c:pt>
                <c:pt idx="192">
                  <c:v>69.098300562505855</c:v>
                </c:pt>
                <c:pt idx="193">
                  <c:v>79.208830918224749</c:v>
                </c:pt>
                <c:pt idx="194">
                  <c:v>89.5471536732354</c:v>
                </c:pt>
                <c:pt idx="195">
                  <c:v>100.0000000000008</c:v>
                </c:pt>
                <c:pt idx="196">
                  <c:v>110.45284632676622</c:v>
                </c:pt>
                <c:pt idx="197">
                  <c:v>120.79116908177718</c:v>
                </c:pt>
                <c:pt idx="198">
                  <c:v>130.90169943749601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BA-45F0-8045-7B6C5F8B4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91904"/>
        <c:axId val="40890368"/>
      </c:scatterChart>
      <c:valAx>
        <c:axId val="40891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/>
                  <a:t>t</a:t>
                </a:r>
                <a:r>
                  <a:rPr lang="ru-RU" sz="1400"/>
                  <a:t>, сек</a:t>
                </a:r>
              </a:p>
            </c:rich>
          </c:tx>
          <c:layout>
            <c:manualLayout>
              <c:xMode val="edge"/>
              <c:yMode val="edge"/>
              <c:x val="0.87127500496700849"/>
              <c:y val="0.800509402261317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25400">
            <a:solidFill>
              <a:sysClr val="windowText" lastClr="000000"/>
            </a:solidFill>
            <a:tailEnd type="triangle"/>
          </a:ln>
        </c:spPr>
        <c:crossAx val="40890368"/>
        <c:crosses val="autoZero"/>
        <c:crossBetween val="midCat"/>
      </c:valAx>
      <c:valAx>
        <c:axId val="4089036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sz="1400"/>
                  <a:t>U</a:t>
                </a:r>
                <a:r>
                  <a:rPr lang="ru-RU" sz="1400"/>
                  <a:t>, В</a:t>
                </a:r>
              </a:p>
            </c:rich>
          </c:tx>
          <c:layout>
            <c:manualLayout>
              <c:xMode val="edge"/>
              <c:yMode val="edge"/>
              <c:x val="0.10882036159822651"/>
              <c:y val="0.2074217838499204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25400">
            <a:solidFill>
              <a:sysClr val="windowText" lastClr="000000"/>
            </a:solidFill>
            <a:tailEnd type="triangle"/>
          </a:ln>
        </c:spPr>
        <c:crossAx val="408919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585439</xdr:colOff>
      <xdr:row>4</xdr:row>
      <xdr:rowOff>120805</xdr:rowOff>
    </xdr:from>
    <xdr:to>
      <xdr:col>13</xdr:col>
      <xdr:colOff>528429</xdr:colOff>
      <xdr:row>20</xdr:row>
      <xdr:rowOff>177026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446978</xdr:colOff>
      <xdr:row>4</xdr:row>
      <xdr:rowOff>149751</xdr:rowOff>
    </xdr:from>
    <xdr:to>
      <xdr:col>22</xdr:col>
      <xdr:colOff>400050</xdr:colOff>
      <xdr:row>20</xdr:row>
      <xdr:rowOff>180974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591989</xdr:colOff>
      <xdr:row>22</xdr:row>
      <xdr:rowOff>29319</xdr:rowOff>
    </xdr:from>
    <xdr:to>
      <xdr:col>13</xdr:col>
      <xdr:colOff>523874</xdr:colOff>
      <xdr:row>38</xdr:row>
      <xdr:rowOff>57150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CCE776E-C111-4837-A984-0124BEF2F1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"/>
  <sheetViews>
    <sheetView tabSelected="1" topLeftCell="A7" zoomScale="70" zoomScaleNormal="70" workbookViewId="0">
      <selection activeCell="U25" sqref="U25"/>
    </sheetView>
  </sheetViews>
  <sheetFormatPr defaultRowHeight="14.4" x14ac:dyDescent="0.3"/>
  <cols>
    <col min="2" max="2" width="11" bestFit="1" customWidth="1"/>
  </cols>
  <sheetData>
    <row r="1" spans="1:9" x14ac:dyDescent="0.3">
      <c r="A1" s="3" t="s">
        <v>0</v>
      </c>
      <c r="B1" s="3" t="s">
        <v>1</v>
      </c>
      <c r="C1" s="3" t="s">
        <v>7</v>
      </c>
      <c r="D1" s="3" t="s">
        <v>8</v>
      </c>
      <c r="E1" s="4" t="s">
        <v>2</v>
      </c>
      <c r="F1" s="3" t="s">
        <v>3</v>
      </c>
      <c r="G1" s="3" t="s">
        <v>5</v>
      </c>
      <c r="H1" s="3" t="s">
        <v>6</v>
      </c>
      <c r="I1" s="3" t="s">
        <v>4</v>
      </c>
    </row>
    <row r="2" spans="1:9" x14ac:dyDescent="0.3">
      <c r="A2" s="1">
        <v>0</v>
      </c>
      <c r="B2" s="1">
        <v>0</v>
      </c>
      <c r="C2" s="1">
        <f t="shared" ref="C2:C33" si="0">E$2*F$2*H$2*SIN(H$2*A2)</f>
        <v>0</v>
      </c>
      <c r="D2" s="1">
        <f>B2/$E$2</f>
        <v>0</v>
      </c>
      <c r="E2" s="2">
        <f>1*10^(-6)</f>
        <v>9.9999999999999995E-7</v>
      </c>
      <c r="F2" s="1">
        <v>100</v>
      </c>
      <c r="G2" s="1">
        <v>1</v>
      </c>
      <c r="H2" s="1">
        <f>SQRT( 1/G2/E2)</f>
        <v>1000</v>
      </c>
      <c r="I2" s="1">
        <f>PI()/30000</f>
        <v>1.0471975511965977E-4</v>
      </c>
    </row>
    <row r="3" spans="1:9" x14ac:dyDescent="0.3">
      <c r="A3" s="1">
        <f t="shared" ref="A3:A34" si="1">A2+I$2</f>
        <v>1.0471975511965977E-4</v>
      </c>
      <c r="B3" s="1">
        <f t="shared" ref="B3:B34" si="2">E$2*F$2*(1-COS(A3*H$2))</f>
        <v>5.4781046317267097E-7</v>
      </c>
      <c r="C3" s="1">
        <f t="shared" si="0"/>
        <v>1.0452846326765344E-2</v>
      </c>
      <c r="D3" s="1">
        <f t="shared" ref="D3:D66" si="3">B3/$E$2</f>
        <v>0.54781046317267101</v>
      </c>
    </row>
    <row r="4" spans="1:9" x14ac:dyDescent="0.3">
      <c r="A4" s="1">
        <f t="shared" si="1"/>
        <v>2.0943951023931953E-4</v>
      </c>
      <c r="B4" s="1">
        <f t="shared" si="2"/>
        <v>2.185239926619431E-6</v>
      </c>
      <c r="C4" s="1">
        <f t="shared" si="0"/>
        <v>2.0791169081775931E-2</v>
      </c>
      <c r="D4" s="1">
        <f t="shared" si="3"/>
        <v>2.1852399266194311</v>
      </c>
    </row>
    <row r="5" spans="1:9" x14ac:dyDescent="0.3">
      <c r="A5" s="1">
        <f t="shared" si="1"/>
        <v>3.1415926535897931E-4</v>
      </c>
      <c r="B5" s="1">
        <f t="shared" si="2"/>
        <v>4.8943483704846466E-6</v>
      </c>
      <c r="C5" s="1">
        <f t="shared" si="0"/>
        <v>3.0901699437494736E-2</v>
      </c>
      <c r="D5" s="1">
        <f t="shared" si="3"/>
        <v>4.8943483704846464</v>
      </c>
    </row>
    <row r="6" spans="1:9" x14ac:dyDescent="0.3">
      <c r="A6" s="1">
        <f t="shared" si="1"/>
        <v>4.1887902047863906E-4</v>
      </c>
      <c r="B6" s="1">
        <f t="shared" si="2"/>
        <v>8.6454542357399127E-6</v>
      </c>
      <c r="C6" s="1">
        <f t="shared" si="0"/>
        <v>4.0673664307580015E-2</v>
      </c>
      <c r="D6" s="1">
        <f t="shared" si="3"/>
        <v>8.6454542357399138</v>
      </c>
    </row>
    <row r="7" spans="1:9" x14ac:dyDescent="0.3">
      <c r="A7" s="1">
        <f t="shared" si="1"/>
        <v>5.2359877559829881E-4</v>
      </c>
      <c r="B7" s="1">
        <f t="shared" si="2"/>
        <v>1.3397459621556129E-5</v>
      </c>
      <c r="C7" s="1">
        <f t="shared" si="0"/>
        <v>4.9999999999999989E-2</v>
      </c>
      <c r="D7" s="1">
        <f t="shared" si="3"/>
        <v>13.397459621556129</v>
      </c>
    </row>
    <row r="8" spans="1:9" x14ac:dyDescent="0.3">
      <c r="A8" s="1">
        <f t="shared" si="1"/>
        <v>6.2831853071795862E-4</v>
      </c>
      <c r="B8" s="1">
        <f t="shared" si="2"/>
        <v>1.9098300562505252E-5</v>
      </c>
      <c r="C8" s="1">
        <f t="shared" si="0"/>
        <v>5.8778525229247307E-2</v>
      </c>
      <c r="D8" s="1">
        <f t="shared" si="3"/>
        <v>19.098300562505255</v>
      </c>
    </row>
    <row r="9" spans="1:9" x14ac:dyDescent="0.3">
      <c r="A9" s="1">
        <f t="shared" si="1"/>
        <v>7.3303828583761842E-4</v>
      </c>
      <c r="B9" s="1">
        <f t="shared" si="2"/>
        <v>2.5685517452260574E-5</v>
      </c>
      <c r="C9" s="1">
        <f t="shared" si="0"/>
        <v>6.6913060635885813E-2</v>
      </c>
      <c r="D9" s="1">
        <f t="shared" si="3"/>
        <v>25.685517452260576</v>
      </c>
    </row>
    <row r="10" spans="1:9" x14ac:dyDescent="0.3">
      <c r="A10" s="1">
        <f t="shared" si="1"/>
        <v>8.3775804095727823E-4</v>
      </c>
      <c r="B10" s="1">
        <f t="shared" si="2"/>
        <v>3.3086939364114172E-5</v>
      </c>
      <c r="C10" s="1">
        <f t="shared" si="0"/>
        <v>7.4314482547739424E-2</v>
      </c>
      <c r="D10" s="1">
        <f t="shared" si="3"/>
        <v>33.086939364114173</v>
      </c>
    </row>
    <row r="11" spans="1:9" x14ac:dyDescent="0.3">
      <c r="A11" s="1">
        <f t="shared" si="1"/>
        <v>9.4247779607693804E-4</v>
      </c>
      <c r="B11" s="1">
        <f t="shared" si="2"/>
        <v>4.1221474770752691E-5</v>
      </c>
      <c r="C11" s="1">
        <f t="shared" si="0"/>
        <v>8.0901699437494742E-2</v>
      </c>
      <c r="D11" s="1">
        <f t="shared" si="3"/>
        <v>41.221474770752693</v>
      </c>
    </row>
    <row r="12" spans="1:9" x14ac:dyDescent="0.3">
      <c r="A12" s="1">
        <f t="shared" si="1"/>
        <v>1.0471975511965978E-3</v>
      </c>
      <c r="B12" s="1">
        <f t="shared" si="2"/>
        <v>5.0000000000000009E-5</v>
      </c>
      <c r="C12" s="1">
        <f t="shared" si="0"/>
        <v>8.6602540378443865E-2</v>
      </c>
      <c r="D12" s="1">
        <f t="shared" si="3"/>
        <v>50.000000000000014</v>
      </c>
    </row>
    <row r="13" spans="1:9" x14ac:dyDescent="0.3">
      <c r="A13" s="1">
        <f t="shared" si="1"/>
        <v>1.1519173063162576E-3</v>
      </c>
      <c r="B13" s="1">
        <f t="shared" si="2"/>
        <v>5.9326335692419982E-5</v>
      </c>
      <c r="C13" s="1">
        <f t="shared" si="0"/>
        <v>9.1354545764260081E-2</v>
      </c>
      <c r="D13" s="1">
        <f t="shared" si="3"/>
        <v>59.326335692419981</v>
      </c>
    </row>
    <row r="14" spans="1:9" x14ac:dyDescent="0.3">
      <c r="A14" s="1">
        <f t="shared" si="1"/>
        <v>1.2566370614359175E-3</v>
      </c>
      <c r="B14" s="1">
        <f t="shared" si="2"/>
        <v>6.9098300562505272E-5</v>
      </c>
      <c r="C14" s="1">
        <f t="shared" si="0"/>
        <v>9.5105651629515356E-2</v>
      </c>
      <c r="D14" s="1">
        <f t="shared" si="3"/>
        <v>69.098300562505273</v>
      </c>
    </row>
    <row r="15" spans="1:9" x14ac:dyDescent="0.3">
      <c r="A15" s="1">
        <f t="shared" si="1"/>
        <v>1.3613568165555773E-3</v>
      </c>
      <c r="B15" s="1">
        <f t="shared" si="2"/>
        <v>7.9208830918224069E-5</v>
      </c>
      <c r="C15" s="1">
        <f t="shared" si="0"/>
        <v>9.7814760073380566E-2</v>
      </c>
      <c r="D15" s="1">
        <f t="shared" si="3"/>
        <v>79.208830918224066</v>
      </c>
    </row>
    <row r="16" spans="1:9" x14ac:dyDescent="0.3">
      <c r="A16" s="1">
        <f t="shared" si="1"/>
        <v>1.4660765716752371E-3</v>
      </c>
      <c r="B16" s="1">
        <f t="shared" si="2"/>
        <v>8.9547153673234675E-5</v>
      </c>
      <c r="C16" s="1">
        <f t="shared" si="0"/>
        <v>9.9452189536827329E-2</v>
      </c>
      <c r="D16" s="1">
        <f t="shared" si="3"/>
        <v>89.547153673234675</v>
      </c>
    </row>
    <row r="17" spans="1:4" x14ac:dyDescent="0.3">
      <c r="A17" s="1">
        <f t="shared" si="1"/>
        <v>1.5707963267948969E-3</v>
      </c>
      <c r="B17" s="1">
        <f t="shared" si="2"/>
        <v>1.0000000000000002E-4</v>
      </c>
      <c r="C17" s="1">
        <f t="shared" si="0"/>
        <v>9.9999999999999992E-2</v>
      </c>
      <c r="D17" s="1">
        <f t="shared" si="3"/>
        <v>100.00000000000003</v>
      </c>
    </row>
    <row r="18" spans="1:4" x14ac:dyDescent="0.3">
      <c r="A18" s="1">
        <f t="shared" si="1"/>
        <v>1.6755160819145567E-3</v>
      </c>
      <c r="B18" s="1">
        <f t="shared" si="2"/>
        <v>1.1045284632676536E-4</v>
      </c>
      <c r="C18" s="1">
        <f t="shared" si="0"/>
        <v>9.9452189536827315E-2</v>
      </c>
      <c r="D18" s="1">
        <f t="shared" si="3"/>
        <v>110.45284632676537</v>
      </c>
    </row>
    <row r="19" spans="1:4" x14ac:dyDescent="0.3">
      <c r="A19" s="1">
        <f t="shared" si="1"/>
        <v>1.7802358370342165E-3</v>
      </c>
      <c r="B19" s="1">
        <f t="shared" si="2"/>
        <v>1.2079116908177595E-4</v>
      </c>
      <c r="C19" s="1">
        <f t="shared" si="0"/>
        <v>9.7814760073380552E-2</v>
      </c>
      <c r="D19" s="1">
        <f t="shared" si="3"/>
        <v>120.79116908177596</v>
      </c>
    </row>
    <row r="20" spans="1:4" x14ac:dyDescent="0.3">
      <c r="A20" s="1">
        <f t="shared" si="1"/>
        <v>1.8849555921538763E-3</v>
      </c>
      <c r="B20" s="1">
        <f t="shared" si="2"/>
        <v>1.3090169943749476E-4</v>
      </c>
      <c r="C20" s="1">
        <f t="shared" si="0"/>
        <v>9.5105651629515328E-2</v>
      </c>
      <c r="D20" s="1">
        <f t="shared" si="3"/>
        <v>130.90169943749478</v>
      </c>
    </row>
    <row r="21" spans="1:4" x14ac:dyDescent="0.3">
      <c r="A21" s="1">
        <f t="shared" si="1"/>
        <v>1.9896753472735361E-3</v>
      </c>
      <c r="B21" s="1">
        <f t="shared" si="2"/>
        <v>1.4067366430758004E-4</v>
      </c>
      <c r="C21" s="1">
        <f t="shared" si="0"/>
        <v>9.1354545764260067E-2</v>
      </c>
      <c r="D21" s="1">
        <f t="shared" si="3"/>
        <v>140.67366430758005</v>
      </c>
    </row>
    <row r="22" spans="1:4" x14ac:dyDescent="0.3">
      <c r="A22" s="1">
        <f t="shared" si="1"/>
        <v>2.0943951023931957E-3</v>
      </c>
      <c r="B22" s="1">
        <f t="shared" si="2"/>
        <v>1.5000000000000001E-4</v>
      </c>
      <c r="C22" s="1">
        <f t="shared" si="0"/>
        <v>8.6602540378443837E-2</v>
      </c>
      <c r="D22" s="1">
        <f t="shared" si="3"/>
        <v>150.00000000000003</v>
      </c>
    </row>
    <row r="23" spans="1:4" x14ac:dyDescent="0.3">
      <c r="A23" s="1">
        <f t="shared" si="1"/>
        <v>2.1991148575128553E-3</v>
      </c>
      <c r="B23" s="1">
        <f t="shared" si="2"/>
        <v>1.5877852522924726E-4</v>
      </c>
      <c r="C23" s="1">
        <f t="shared" si="0"/>
        <v>8.0901699437494742E-2</v>
      </c>
      <c r="D23" s="1">
        <f t="shared" si="3"/>
        <v>158.77852522924726</v>
      </c>
    </row>
    <row r="24" spans="1:4" x14ac:dyDescent="0.3">
      <c r="A24" s="1">
        <f t="shared" si="1"/>
        <v>2.3038346126325149E-3</v>
      </c>
      <c r="B24" s="1">
        <f t="shared" si="2"/>
        <v>1.6691306063588578E-4</v>
      </c>
      <c r="C24" s="1">
        <f t="shared" si="0"/>
        <v>7.4314482547739438E-2</v>
      </c>
      <c r="D24" s="1">
        <f t="shared" si="3"/>
        <v>166.91306063588578</v>
      </c>
    </row>
    <row r="25" spans="1:4" x14ac:dyDescent="0.3">
      <c r="A25" s="1">
        <f t="shared" si="1"/>
        <v>2.4085543677521744E-3</v>
      </c>
      <c r="B25" s="1">
        <f t="shared" si="2"/>
        <v>1.7431448254773938E-4</v>
      </c>
      <c r="C25" s="1">
        <f t="shared" si="0"/>
        <v>6.6913060635885827E-2</v>
      </c>
      <c r="D25" s="1">
        <f t="shared" si="3"/>
        <v>174.3144825477394</v>
      </c>
    </row>
    <row r="26" spans="1:4" x14ac:dyDescent="0.3">
      <c r="A26" s="1">
        <f t="shared" si="1"/>
        <v>2.513274122871834E-3</v>
      </c>
      <c r="B26" s="1">
        <f t="shared" si="2"/>
        <v>1.8090169943749468E-4</v>
      </c>
      <c r="C26" s="1">
        <f t="shared" si="0"/>
        <v>5.8778525229247355E-2</v>
      </c>
      <c r="D26" s="1">
        <f t="shared" si="3"/>
        <v>180.9016994374947</v>
      </c>
    </row>
    <row r="27" spans="1:4" x14ac:dyDescent="0.3">
      <c r="A27" s="1">
        <f t="shared" si="1"/>
        <v>2.6179938779914936E-3</v>
      </c>
      <c r="B27" s="1">
        <f t="shared" si="2"/>
        <v>1.8660254037844383E-4</v>
      </c>
      <c r="C27" s="1">
        <f t="shared" si="0"/>
        <v>5.0000000000000072E-2</v>
      </c>
      <c r="D27" s="1">
        <f t="shared" si="3"/>
        <v>186.60254037844385</v>
      </c>
    </row>
    <row r="28" spans="1:4" x14ac:dyDescent="0.3">
      <c r="A28" s="1">
        <f t="shared" si="1"/>
        <v>2.7227136331111532E-3</v>
      </c>
      <c r="B28" s="1">
        <f t="shared" si="2"/>
        <v>1.9135454576426001E-4</v>
      </c>
      <c r="C28" s="1">
        <f t="shared" si="0"/>
        <v>4.0673664307580126E-2</v>
      </c>
      <c r="D28" s="1">
        <f t="shared" si="3"/>
        <v>191.35454576426002</v>
      </c>
    </row>
    <row r="29" spans="1:4" x14ac:dyDescent="0.3">
      <c r="A29" s="1">
        <f t="shared" si="1"/>
        <v>2.8274333882308128E-3</v>
      </c>
      <c r="B29" s="1">
        <f t="shared" si="2"/>
        <v>1.9510565162951529E-4</v>
      </c>
      <c r="C29" s="1">
        <f t="shared" si="0"/>
        <v>3.0901699437494837E-2</v>
      </c>
      <c r="D29" s="1">
        <f t="shared" si="3"/>
        <v>195.10565162951531</v>
      </c>
    </row>
    <row r="30" spans="1:4" x14ac:dyDescent="0.3">
      <c r="A30" s="1">
        <f t="shared" si="1"/>
        <v>2.9321531433504724E-3</v>
      </c>
      <c r="B30" s="1">
        <f t="shared" si="2"/>
        <v>1.978147600733805E-4</v>
      </c>
      <c r="C30" s="1">
        <f t="shared" si="0"/>
        <v>2.079116908177606E-2</v>
      </c>
      <c r="D30" s="1">
        <f t="shared" si="3"/>
        <v>197.81476007338051</v>
      </c>
    </row>
    <row r="31" spans="1:4" x14ac:dyDescent="0.3">
      <c r="A31" s="1">
        <f t="shared" si="1"/>
        <v>3.036872898470132E-3</v>
      </c>
      <c r="B31" s="1">
        <f t="shared" si="2"/>
        <v>1.9945218953682729E-4</v>
      </c>
      <c r="C31" s="1">
        <f t="shared" si="0"/>
        <v>1.0452846326765505E-2</v>
      </c>
      <c r="D31" s="1">
        <f t="shared" si="3"/>
        <v>199.45218953682729</v>
      </c>
    </row>
    <row r="32" spans="1:4" x14ac:dyDescent="0.3">
      <c r="A32" s="1">
        <f t="shared" si="1"/>
        <v>3.1415926535897916E-3</v>
      </c>
      <c r="B32" s="1">
        <f t="shared" si="2"/>
        <v>1.9999999999999998E-4</v>
      </c>
      <c r="C32" s="1">
        <f t="shared" si="0"/>
        <v>1.4547824750410498E-16</v>
      </c>
      <c r="D32" s="1">
        <f t="shared" si="3"/>
        <v>200</v>
      </c>
    </row>
    <row r="33" spans="1:4" x14ac:dyDescent="0.3">
      <c r="A33" s="1">
        <f t="shared" si="1"/>
        <v>3.2463124087094512E-3</v>
      </c>
      <c r="B33" s="1">
        <f t="shared" si="2"/>
        <v>1.9945218953682734E-4</v>
      </c>
      <c r="C33" s="1">
        <f t="shared" si="0"/>
        <v>-1.045284632676517E-2</v>
      </c>
      <c r="D33" s="1">
        <f t="shared" si="3"/>
        <v>199.45218953682735</v>
      </c>
    </row>
    <row r="34" spans="1:4" x14ac:dyDescent="0.3">
      <c r="A34" s="1">
        <f t="shared" si="1"/>
        <v>3.3510321638291108E-3</v>
      </c>
      <c r="B34" s="1">
        <f t="shared" si="2"/>
        <v>1.978147600733806E-4</v>
      </c>
      <c r="C34" s="1">
        <f t="shared" ref="C34:C65" si="4">E$2*F$2*H$2*SIN(H$2*A34)</f>
        <v>-2.079116908177573E-2</v>
      </c>
      <c r="D34" s="1">
        <f t="shared" si="3"/>
        <v>197.81476007338063</v>
      </c>
    </row>
    <row r="35" spans="1:4" x14ac:dyDescent="0.3">
      <c r="A35" s="1">
        <f t="shared" ref="A35:A66" si="5">A34+I$2</f>
        <v>3.4557519189487703E-3</v>
      </c>
      <c r="B35" s="1">
        <f t="shared" ref="B35:B66" si="6">E$2*F$2*(1-COS(A35*H$2))</f>
        <v>1.9510565162951543E-4</v>
      </c>
      <c r="C35" s="1">
        <f t="shared" si="4"/>
        <v>-3.0901699437494514E-2</v>
      </c>
      <c r="D35" s="1">
        <f t="shared" si="3"/>
        <v>195.10565162951542</v>
      </c>
    </row>
    <row r="36" spans="1:4" x14ac:dyDescent="0.3">
      <c r="A36" s="1">
        <f t="shared" si="5"/>
        <v>3.5604716740684299E-3</v>
      </c>
      <c r="B36" s="1">
        <f t="shared" si="6"/>
        <v>1.9135454576426014E-4</v>
      </c>
      <c r="C36" s="1">
        <f t="shared" si="4"/>
        <v>-4.0673664307579821E-2</v>
      </c>
      <c r="D36" s="1">
        <f t="shared" si="3"/>
        <v>191.35454576426017</v>
      </c>
    </row>
    <row r="37" spans="1:4" x14ac:dyDescent="0.3">
      <c r="A37" s="1">
        <f t="shared" si="5"/>
        <v>3.6651914291880895E-3</v>
      </c>
      <c r="B37" s="1">
        <f t="shared" si="6"/>
        <v>1.8660254037844396E-4</v>
      </c>
      <c r="C37" s="1">
        <f t="shared" si="4"/>
        <v>-4.9999999999999781E-2</v>
      </c>
      <c r="D37" s="1">
        <f t="shared" si="3"/>
        <v>186.60254037844396</v>
      </c>
    </row>
    <row r="38" spans="1:4" x14ac:dyDescent="0.3">
      <c r="A38" s="1">
        <f t="shared" si="5"/>
        <v>3.7699111843077491E-3</v>
      </c>
      <c r="B38" s="1">
        <f t="shared" si="6"/>
        <v>1.809016994374949E-4</v>
      </c>
      <c r="C38" s="1">
        <f t="shared" si="4"/>
        <v>-5.8778525229247078E-2</v>
      </c>
      <c r="D38" s="1">
        <f t="shared" si="3"/>
        <v>180.9016994374949</v>
      </c>
    </row>
    <row r="39" spans="1:4" x14ac:dyDescent="0.3">
      <c r="A39" s="1">
        <f t="shared" si="5"/>
        <v>3.8746309394274087E-3</v>
      </c>
      <c r="B39" s="1">
        <f t="shared" si="6"/>
        <v>1.743144825477396E-4</v>
      </c>
      <c r="C39" s="1">
        <f t="shared" si="4"/>
        <v>-6.6913060635885591E-2</v>
      </c>
      <c r="D39" s="1">
        <f t="shared" si="3"/>
        <v>174.3144825477396</v>
      </c>
    </row>
    <row r="40" spans="1:4" x14ac:dyDescent="0.3">
      <c r="A40">
        <f t="shared" si="5"/>
        <v>3.9793506945470687E-3</v>
      </c>
      <c r="B40">
        <f t="shared" si="6"/>
        <v>1.6691306063588599E-4</v>
      </c>
      <c r="C40">
        <f t="shared" si="4"/>
        <v>-7.4314482547739258E-2</v>
      </c>
      <c r="D40">
        <f t="shared" si="3"/>
        <v>166.91306063588601</v>
      </c>
    </row>
    <row r="41" spans="1:4" x14ac:dyDescent="0.3">
      <c r="A41">
        <f t="shared" si="5"/>
        <v>4.0840704496667287E-3</v>
      </c>
      <c r="B41">
        <f t="shared" si="6"/>
        <v>1.5877852522924754E-4</v>
      </c>
      <c r="C41">
        <f t="shared" si="4"/>
        <v>-8.0901699437494576E-2</v>
      </c>
      <c r="D41">
        <f t="shared" si="3"/>
        <v>158.77852522924755</v>
      </c>
    </row>
    <row r="42" spans="1:4" x14ac:dyDescent="0.3">
      <c r="A42">
        <f t="shared" si="5"/>
        <v>4.1887902047863888E-3</v>
      </c>
      <c r="B42">
        <f t="shared" si="6"/>
        <v>1.5000000000000018E-4</v>
      </c>
      <c r="C42">
        <f t="shared" si="4"/>
        <v>-8.660254037844374E-2</v>
      </c>
      <c r="D42">
        <f t="shared" si="3"/>
        <v>150.00000000000017</v>
      </c>
    </row>
    <row r="43" spans="1:4" x14ac:dyDescent="0.3">
      <c r="A43">
        <f t="shared" si="5"/>
        <v>4.2935099599060488E-3</v>
      </c>
      <c r="B43">
        <f t="shared" si="6"/>
        <v>1.4067366430758015E-4</v>
      </c>
      <c r="C43">
        <f t="shared" si="4"/>
        <v>-9.1354545764260012E-2</v>
      </c>
      <c r="D43">
        <f t="shared" si="3"/>
        <v>140.67366430758017</v>
      </c>
    </row>
    <row r="44" spans="1:4" x14ac:dyDescent="0.3">
      <c r="A44">
        <f t="shared" si="5"/>
        <v>4.3982297150257088E-3</v>
      </c>
      <c r="B44">
        <f t="shared" si="6"/>
        <v>1.309016994374949E-4</v>
      </c>
      <c r="C44">
        <f t="shared" si="4"/>
        <v>-9.5105651629515287E-2</v>
      </c>
      <c r="D44">
        <f t="shared" si="3"/>
        <v>130.9016994374949</v>
      </c>
    </row>
    <row r="45" spans="1:4" x14ac:dyDescent="0.3">
      <c r="A45">
        <f t="shared" si="5"/>
        <v>4.5029494701453688E-3</v>
      </c>
      <c r="B45">
        <f t="shared" si="6"/>
        <v>1.2079116908177606E-4</v>
      </c>
      <c r="C45">
        <f t="shared" si="4"/>
        <v>-9.7814760073380524E-2</v>
      </c>
      <c r="D45">
        <f t="shared" si="3"/>
        <v>120.79116908177606</v>
      </c>
    </row>
    <row r="46" spans="1:4" x14ac:dyDescent="0.3">
      <c r="A46">
        <f t="shared" si="5"/>
        <v>4.6076692252650289E-3</v>
      </c>
      <c r="B46">
        <f t="shared" si="6"/>
        <v>1.104528463267655E-4</v>
      </c>
      <c r="C46">
        <f t="shared" si="4"/>
        <v>-9.9452189536827315E-2</v>
      </c>
      <c r="D46">
        <f t="shared" si="3"/>
        <v>110.4528463267655</v>
      </c>
    </row>
    <row r="47" spans="1:4" x14ac:dyDescent="0.3">
      <c r="A47">
        <f t="shared" si="5"/>
        <v>4.7123889803846889E-3</v>
      </c>
      <c r="B47">
        <f t="shared" si="6"/>
        <v>1.000000000000001E-4</v>
      </c>
      <c r="C47">
        <f t="shared" si="4"/>
        <v>-9.9999999999999992E-2</v>
      </c>
      <c r="D47">
        <f t="shared" si="3"/>
        <v>100.0000000000001</v>
      </c>
    </row>
    <row r="48" spans="1:4" x14ac:dyDescent="0.3">
      <c r="A48">
        <f t="shared" si="5"/>
        <v>4.8171087355043489E-3</v>
      </c>
      <c r="B48">
        <f t="shared" si="6"/>
        <v>8.9547153673234689E-5</v>
      </c>
      <c r="C48">
        <f t="shared" si="4"/>
        <v>-9.9452189536827329E-2</v>
      </c>
      <c r="D48">
        <f t="shared" si="3"/>
        <v>89.547153673234689</v>
      </c>
    </row>
    <row r="49" spans="1:4" x14ac:dyDescent="0.3">
      <c r="A49">
        <f t="shared" si="5"/>
        <v>4.9218284906240089E-3</v>
      </c>
      <c r="B49">
        <f t="shared" si="6"/>
        <v>7.9208830918224137E-5</v>
      </c>
      <c r="C49">
        <f t="shared" si="4"/>
        <v>-9.7814760073380566E-2</v>
      </c>
      <c r="D49">
        <f t="shared" si="3"/>
        <v>79.208830918224137</v>
      </c>
    </row>
    <row r="50" spans="1:4" x14ac:dyDescent="0.3">
      <c r="A50">
        <f t="shared" si="5"/>
        <v>5.0265482457436689E-3</v>
      </c>
      <c r="B50">
        <f t="shared" si="6"/>
        <v>6.9098300562505272E-5</v>
      </c>
      <c r="C50">
        <f t="shared" si="4"/>
        <v>-9.5105651629515356E-2</v>
      </c>
      <c r="D50">
        <f t="shared" si="3"/>
        <v>69.098300562505273</v>
      </c>
    </row>
    <row r="51" spans="1:4" x14ac:dyDescent="0.3">
      <c r="A51">
        <f t="shared" si="5"/>
        <v>5.131268000863329E-3</v>
      </c>
      <c r="B51">
        <f t="shared" si="6"/>
        <v>5.9326335692419934E-5</v>
      </c>
      <c r="C51">
        <f t="shared" si="4"/>
        <v>-9.1354545764260067E-2</v>
      </c>
      <c r="D51">
        <f t="shared" si="3"/>
        <v>59.326335692419939</v>
      </c>
    </row>
    <row r="52" spans="1:4" x14ac:dyDescent="0.3">
      <c r="A52">
        <f t="shared" si="5"/>
        <v>5.235987755982989E-3</v>
      </c>
      <c r="B52">
        <f t="shared" si="6"/>
        <v>4.9999999999999982E-5</v>
      </c>
      <c r="C52">
        <f t="shared" si="4"/>
        <v>-8.6602540378443851E-2</v>
      </c>
      <c r="D52">
        <f t="shared" si="3"/>
        <v>49.999999999999986</v>
      </c>
    </row>
    <row r="53" spans="1:4" x14ac:dyDescent="0.3">
      <c r="A53">
        <f t="shared" si="5"/>
        <v>5.340707511102649E-3</v>
      </c>
      <c r="B53">
        <f t="shared" si="6"/>
        <v>4.122147477075263E-5</v>
      </c>
      <c r="C53">
        <f t="shared" si="4"/>
        <v>-8.0901699437494701E-2</v>
      </c>
      <c r="D53">
        <f t="shared" si="3"/>
        <v>41.221474770752629</v>
      </c>
    </row>
    <row r="54" spans="1:4" x14ac:dyDescent="0.3">
      <c r="A54">
        <f t="shared" si="5"/>
        <v>5.445427266222309E-3</v>
      </c>
      <c r="B54">
        <f t="shared" si="6"/>
        <v>3.3086939364114151E-5</v>
      </c>
      <c r="C54">
        <f t="shared" si="4"/>
        <v>-7.4314482547739397E-2</v>
      </c>
      <c r="D54">
        <f t="shared" si="3"/>
        <v>33.086939364114151</v>
      </c>
    </row>
    <row r="55" spans="1:4" x14ac:dyDescent="0.3">
      <c r="A55">
        <f t="shared" si="5"/>
        <v>5.5501470213419691E-3</v>
      </c>
      <c r="B55">
        <f t="shared" si="6"/>
        <v>2.5685517452260506E-5</v>
      </c>
      <c r="C55">
        <f t="shared" si="4"/>
        <v>-6.6913060635885743E-2</v>
      </c>
      <c r="D55">
        <f t="shared" si="3"/>
        <v>25.685517452260505</v>
      </c>
    </row>
    <row r="56" spans="1:4" x14ac:dyDescent="0.3">
      <c r="A56">
        <f t="shared" si="5"/>
        <v>5.6548667764616291E-3</v>
      </c>
      <c r="B56">
        <f t="shared" si="6"/>
        <v>1.9098300562505164E-5</v>
      </c>
      <c r="C56">
        <f t="shared" si="4"/>
        <v>-5.8778525229247189E-2</v>
      </c>
      <c r="D56">
        <f t="shared" si="3"/>
        <v>19.098300562505166</v>
      </c>
    </row>
    <row r="57" spans="1:4" x14ac:dyDescent="0.3">
      <c r="A57">
        <f t="shared" si="5"/>
        <v>5.7595865315812891E-3</v>
      </c>
      <c r="B57">
        <f t="shared" si="6"/>
        <v>1.3397459621556073E-5</v>
      </c>
      <c r="C57">
        <f t="shared" si="4"/>
        <v>-4.9999999999999885E-2</v>
      </c>
      <c r="D57">
        <f t="shared" si="3"/>
        <v>13.397459621556074</v>
      </c>
    </row>
    <row r="58" spans="1:4" x14ac:dyDescent="0.3">
      <c r="A58">
        <f t="shared" si="5"/>
        <v>5.8643062867009491E-3</v>
      </c>
      <c r="B58">
        <f t="shared" si="6"/>
        <v>8.6454542357398348E-6</v>
      </c>
      <c r="C58">
        <f t="shared" si="4"/>
        <v>-4.0673664307579849E-2</v>
      </c>
      <c r="D58">
        <f t="shared" si="3"/>
        <v>8.6454542357398356</v>
      </c>
    </row>
    <row r="59" spans="1:4" x14ac:dyDescent="0.3">
      <c r="A59">
        <f t="shared" si="5"/>
        <v>5.9690260418206091E-3</v>
      </c>
      <c r="B59">
        <f t="shared" si="6"/>
        <v>4.8943483704845687E-6</v>
      </c>
      <c r="C59">
        <f t="shared" si="4"/>
        <v>-3.0901699437494511E-2</v>
      </c>
      <c r="D59">
        <f t="shared" si="3"/>
        <v>4.8943483704845692</v>
      </c>
    </row>
    <row r="60" spans="1:4" x14ac:dyDescent="0.3">
      <c r="A60">
        <f t="shared" si="5"/>
        <v>6.0737457969402692E-3</v>
      </c>
      <c r="B60">
        <f t="shared" si="6"/>
        <v>2.1852399266193865E-6</v>
      </c>
      <c r="C60">
        <f t="shared" si="4"/>
        <v>-2.0791169081775723E-2</v>
      </c>
      <c r="D60">
        <f t="shared" si="3"/>
        <v>2.1852399266193867</v>
      </c>
    </row>
    <row r="61" spans="1:4" x14ac:dyDescent="0.3">
      <c r="A61">
        <f t="shared" si="5"/>
        <v>6.1784655520599292E-3</v>
      </c>
      <c r="B61">
        <f t="shared" si="6"/>
        <v>5.4781046317263762E-7</v>
      </c>
      <c r="C61">
        <f t="shared" si="4"/>
        <v>-1.0452846326765075E-2</v>
      </c>
      <c r="D61">
        <f t="shared" si="3"/>
        <v>0.5478104631726376</v>
      </c>
    </row>
    <row r="62" spans="1:4" x14ac:dyDescent="0.3">
      <c r="A62">
        <f t="shared" si="5"/>
        <v>6.2831853071795892E-3</v>
      </c>
      <c r="B62">
        <f t="shared" si="6"/>
        <v>0</v>
      </c>
      <c r="C62">
        <f t="shared" si="4"/>
        <v>2.4195055681186516E-16</v>
      </c>
      <c r="D62">
        <f t="shared" si="3"/>
        <v>0</v>
      </c>
    </row>
    <row r="63" spans="1:4" x14ac:dyDescent="0.3">
      <c r="A63">
        <f t="shared" si="5"/>
        <v>6.3879050622992492E-3</v>
      </c>
      <c r="B63">
        <f t="shared" si="6"/>
        <v>5.478104631726932E-7</v>
      </c>
      <c r="C63">
        <f t="shared" si="4"/>
        <v>1.0452846326765646E-2</v>
      </c>
      <c r="D63">
        <f t="shared" si="3"/>
        <v>0.54781046317269322</v>
      </c>
    </row>
    <row r="64" spans="1:4" x14ac:dyDescent="0.3">
      <c r="A64">
        <f t="shared" si="5"/>
        <v>6.4926248174189093E-3</v>
      </c>
      <c r="B64">
        <f t="shared" si="6"/>
        <v>2.1852399266195085E-6</v>
      </c>
      <c r="C64">
        <f t="shared" si="4"/>
        <v>2.0791169081776285E-2</v>
      </c>
      <c r="D64">
        <f t="shared" si="3"/>
        <v>2.1852399266195084</v>
      </c>
    </row>
    <row r="65" spans="1:4" x14ac:dyDescent="0.3">
      <c r="A65">
        <f t="shared" si="5"/>
        <v>6.5973445725385693E-3</v>
      </c>
      <c r="B65">
        <f t="shared" si="6"/>
        <v>4.8943483704847466E-6</v>
      </c>
      <c r="C65">
        <f t="shared" si="4"/>
        <v>3.0901699437495052E-2</v>
      </c>
      <c r="D65">
        <f t="shared" si="3"/>
        <v>4.8943483704847468</v>
      </c>
    </row>
    <row r="66" spans="1:4" x14ac:dyDescent="0.3">
      <c r="A66">
        <f t="shared" si="5"/>
        <v>6.7020643276582293E-3</v>
      </c>
      <c r="B66">
        <f t="shared" si="6"/>
        <v>8.6454542357400685E-6</v>
      </c>
      <c r="C66">
        <f t="shared" ref="C66:C97" si="7">E$2*F$2*H$2*SIN(H$2*A66)</f>
        <v>4.0673664307580376E-2</v>
      </c>
      <c r="D66">
        <f t="shared" si="3"/>
        <v>8.6454542357400683</v>
      </c>
    </row>
    <row r="67" spans="1:4" x14ac:dyDescent="0.3">
      <c r="A67">
        <f t="shared" ref="A67:A98" si="8">A66+I$2</f>
        <v>6.8067840827778893E-3</v>
      </c>
      <c r="B67">
        <f t="shared" ref="B67:B98" si="9">E$2*F$2*(1-COS(A67*H$2))</f>
        <v>1.3397459621556317E-5</v>
      </c>
      <c r="C67">
        <f t="shared" si="7"/>
        <v>5.0000000000000308E-2</v>
      </c>
      <c r="D67">
        <f t="shared" ref="D67:D130" si="10">B67/$E$2</f>
        <v>13.397459621556317</v>
      </c>
    </row>
    <row r="68" spans="1:4" x14ac:dyDescent="0.3">
      <c r="A68">
        <f t="shared" si="8"/>
        <v>6.9115038378975494E-3</v>
      </c>
      <c r="B68">
        <f t="shared" si="9"/>
        <v>1.9098300562505496E-5</v>
      </c>
      <c r="C68">
        <f t="shared" si="7"/>
        <v>5.877852522924764E-2</v>
      </c>
      <c r="D68">
        <f t="shared" si="10"/>
        <v>19.098300562505496</v>
      </c>
    </row>
    <row r="69" spans="1:4" x14ac:dyDescent="0.3">
      <c r="A69">
        <f t="shared" si="8"/>
        <v>7.0162235930172094E-3</v>
      </c>
      <c r="B69">
        <f t="shared" si="9"/>
        <v>2.5685517452260896E-5</v>
      </c>
      <c r="C69">
        <f t="shared" si="7"/>
        <v>6.6913060635886173E-2</v>
      </c>
      <c r="D69">
        <f t="shared" si="10"/>
        <v>25.685517452260896</v>
      </c>
    </row>
    <row r="70" spans="1:4" x14ac:dyDescent="0.3">
      <c r="A70">
        <f t="shared" si="8"/>
        <v>7.1209433481368694E-3</v>
      </c>
      <c r="B70">
        <f t="shared" si="9"/>
        <v>3.3086939364114504E-5</v>
      </c>
      <c r="C70">
        <f t="shared" si="7"/>
        <v>7.4314482547739716E-2</v>
      </c>
      <c r="D70">
        <f t="shared" si="10"/>
        <v>33.086939364114507</v>
      </c>
    </row>
    <row r="71" spans="1:4" x14ac:dyDescent="0.3">
      <c r="A71">
        <f t="shared" si="8"/>
        <v>7.2256631032565294E-3</v>
      </c>
      <c r="B71">
        <f t="shared" si="9"/>
        <v>4.1221474770753091E-5</v>
      </c>
      <c r="C71">
        <f t="shared" si="7"/>
        <v>8.0901699437495034E-2</v>
      </c>
      <c r="D71">
        <f t="shared" si="10"/>
        <v>41.22147477075309</v>
      </c>
    </row>
    <row r="72" spans="1:4" x14ac:dyDescent="0.3">
      <c r="A72">
        <f t="shared" si="8"/>
        <v>7.3303828583761894E-3</v>
      </c>
      <c r="B72">
        <f t="shared" si="9"/>
        <v>5.0000000000000484E-5</v>
      </c>
      <c r="C72">
        <f t="shared" si="7"/>
        <v>8.6602540378444143E-2</v>
      </c>
      <c r="D72">
        <f t="shared" si="10"/>
        <v>50.000000000000483</v>
      </c>
    </row>
    <row r="73" spans="1:4" x14ac:dyDescent="0.3">
      <c r="A73">
        <f t="shared" si="8"/>
        <v>7.4351026134958495E-3</v>
      </c>
      <c r="B73">
        <f t="shared" si="9"/>
        <v>5.932633569242047E-5</v>
      </c>
      <c r="C73">
        <f t="shared" si="7"/>
        <v>9.1354545764260303E-2</v>
      </c>
      <c r="D73">
        <f t="shared" si="10"/>
        <v>59.326335692420471</v>
      </c>
    </row>
    <row r="74" spans="1:4" x14ac:dyDescent="0.3">
      <c r="A74">
        <f t="shared" si="8"/>
        <v>7.5398223686155095E-3</v>
      </c>
      <c r="B74">
        <f t="shared" si="9"/>
        <v>6.9098300562505814E-5</v>
      </c>
      <c r="C74">
        <f t="shared" si="7"/>
        <v>9.5105651629515536E-2</v>
      </c>
      <c r="D74">
        <f t="shared" si="10"/>
        <v>69.098300562505813</v>
      </c>
    </row>
    <row r="75" spans="1:4" x14ac:dyDescent="0.3">
      <c r="A75">
        <f t="shared" si="8"/>
        <v>7.6445421237351695E-3</v>
      </c>
      <c r="B75">
        <f t="shared" si="9"/>
        <v>7.9208830918224611E-5</v>
      </c>
      <c r="C75">
        <f t="shared" si="7"/>
        <v>9.7814760073380677E-2</v>
      </c>
      <c r="D75">
        <f t="shared" si="10"/>
        <v>79.208830918224621</v>
      </c>
    </row>
    <row r="76" spans="1:4" x14ac:dyDescent="0.3">
      <c r="A76">
        <f t="shared" si="8"/>
        <v>7.7492618788548295E-3</v>
      </c>
      <c r="B76">
        <f t="shared" si="9"/>
        <v>8.9547153673235258E-5</v>
      </c>
      <c r="C76">
        <f t="shared" si="7"/>
        <v>9.9452189536827384E-2</v>
      </c>
      <c r="D76">
        <f t="shared" si="10"/>
        <v>89.547153673235258</v>
      </c>
    </row>
    <row r="77" spans="1:4" x14ac:dyDescent="0.3">
      <c r="A77">
        <f t="shared" si="8"/>
        <v>7.8539816339744887E-3</v>
      </c>
      <c r="B77">
        <f t="shared" si="9"/>
        <v>1.0000000000000059E-4</v>
      </c>
      <c r="C77">
        <f t="shared" si="7"/>
        <v>9.9999999999999992E-2</v>
      </c>
      <c r="D77">
        <f t="shared" si="10"/>
        <v>100.0000000000006</v>
      </c>
    </row>
    <row r="78" spans="1:4" x14ac:dyDescent="0.3">
      <c r="A78">
        <f t="shared" si="8"/>
        <v>7.9587013890941478E-3</v>
      </c>
      <c r="B78">
        <f t="shared" si="9"/>
        <v>1.1045284632676581E-4</v>
      </c>
      <c r="C78">
        <f t="shared" si="7"/>
        <v>9.9452189536827273E-2</v>
      </c>
      <c r="D78">
        <f t="shared" si="10"/>
        <v>110.45284632676581</v>
      </c>
    </row>
    <row r="79" spans="1:4" x14ac:dyDescent="0.3">
      <c r="A79">
        <f t="shared" si="8"/>
        <v>8.063421144213807E-3</v>
      </c>
      <c r="B79">
        <f t="shared" si="9"/>
        <v>1.2079116908177635E-4</v>
      </c>
      <c r="C79">
        <f t="shared" si="7"/>
        <v>9.7814760073380455E-2</v>
      </c>
      <c r="D79">
        <f t="shared" si="10"/>
        <v>120.79116908177635</v>
      </c>
    </row>
    <row r="80" spans="1:4" x14ac:dyDescent="0.3">
      <c r="A80">
        <f t="shared" si="8"/>
        <v>8.1681408993334662E-3</v>
      </c>
      <c r="B80">
        <f t="shared" si="9"/>
        <v>1.3090169943749504E-4</v>
      </c>
      <c r="C80">
        <f t="shared" si="7"/>
        <v>9.5105651629515245E-2</v>
      </c>
      <c r="D80">
        <f t="shared" si="10"/>
        <v>130.90169943749504</v>
      </c>
    </row>
    <row r="81" spans="1:4" x14ac:dyDescent="0.3">
      <c r="A81">
        <f t="shared" si="8"/>
        <v>8.2728606544531253E-3</v>
      </c>
      <c r="B81">
        <f t="shared" si="9"/>
        <v>1.4067366430758037E-4</v>
      </c>
      <c r="C81">
        <f t="shared" si="7"/>
        <v>9.1354545764259928E-2</v>
      </c>
      <c r="D81">
        <f t="shared" si="10"/>
        <v>140.67366430758037</v>
      </c>
    </row>
    <row r="82" spans="1:4" x14ac:dyDescent="0.3">
      <c r="A82">
        <f t="shared" si="8"/>
        <v>8.3775804095727845E-3</v>
      </c>
      <c r="B82">
        <f t="shared" si="9"/>
        <v>1.500000000000002E-4</v>
      </c>
      <c r="C82">
        <f t="shared" si="7"/>
        <v>8.6602540378443726E-2</v>
      </c>
      <c r="D82">
        <f t="shared" si="10"/>
        <v>150.0000000000002</v>
      </c>
    </row>
    <row r="83" spans="1:4" x14ac:dyDescent="0.3">
      <c r="A83">
        <f t="shared" si="8"/>
        <v>8.4823001646924436E-3</v>
      </c>
      <c r="B83">
        <f t="shared" si="9"/>
        <v>1.587785252292474E-4</v>
      </c>
      <c r="C83">
        <f t="shared" si="7"/>
        <v>8.0901699437494645E-2</v>
      </c>
      <c r="D83">
        <f t="shared" si="10"/>
        <v>158.77852522924741</v>
      </c>
    </row>
    <row r="84" spans="1:4" x14ac:dyDescent="0.3">
      <c r="A84">
        <f t="shared" si="8"/>
        <v>8.5870199198121028E-3</v>
      </c>
      <c r="B84">
        <f t="shared" si="9"/>
        <v>1.6691306063588594E-4</v>
      </c>
      <c r="C84">
        <f t="shared" si="7"/>
        <v>7.4314482547739286E-2</v>
      </c>
      <c r="D84">
        <f t="shared" si="10"/>
        <v>166.91306063588596</v>
      </c>
    </row>
    <row r="85" spans="1:4" x14ac:dyDescent="0.3">
      <c r="A85">
        <f t="shared" si="8"/>
        <v>8.6917396749317619E-3</v>
      </c>
      <c r="B85">
        <f t="shared" si="9"/>
        <v>1.7431448254773946E-4</v>
      </c>
      <c r="C85">
        <f t="shared" si="7"/>
        <v>6.6913060635885757E-2</v>
      </c>
      <c r="D85">
        <f t="shared" si="10"/>
        <v>174.31448254773946</v>
      </c>
    </row>
    <row r="86" spans="1:4" x14ac:dyDescent="0.3">
      <c r="A86">
        <f t="shared" si="8"/>
        <v>8.7964594300514211E-3</v>
      </c>
      <c r="B86">
        <f t="shared" si="9"/>
        <v>1.8090169943749471E-4</v>
      </c>
      <c r="C86">
        <f t="shared" si="7"/>
        <v>5.8778525229247328E-2</v>
      </c>
      <c r="D86">
        <f t="shared" si="10"/>
        <v>180.90169943749473</v>
      </c>
    </row>
    <row r="87" spans="1:4" x14ac:dyDescent="0.3">
      <c r="A87">
        <f t="shared" si="8"/>
        <v>8.9011791851710802E-3</v>
      </c>
      <c r="B87">
        <f t="shared" si="9"/>
        <v>1.8660254037844386E-4</v>
      </c>
      <c r="C87">
        <f t="shared" si="7"/>
        <v>4.9999999999999975E-2</v>
      </c>
      <c r="D87">
        <f t="shared" si="10"/>
        <v>186.60254037844388</v>
      </c>
    </row>
    <row r="88" spans="1:4" x14ac:dyDescent="0.3">
      <c r="A88">
        <f t="shared" si="8"/>
        <v>9.0058989402907394E-3</v>
      </c>
      <c r="B88">
        <f t="shared" si="9"/>
        <v>1.9135454576426004E-4</v>
      </c>
      <c r="C88">
        <f t="shared" si="7"/>
        <v>4.0673664307580105E-2</v>
      </c>
      <c r="D88">
        <f t="shared" si="10"/>
        <v>191.35454576426005</v>
      </c>
    </row>
    <row r="89" spans="1:4" x14ac:dyDescent="0.3">
      <c r="A89">
        <f t="shared" si="8"/>
        <v>9.1106186954103986E-3</v>
      </c>
      <c r="B89">
        <f t="shared" si="9"/>
        <v>1.9510565162951526E-4</v>
      </c>
      <c r="C89">
        <f t="shared" si="7"/>
        <v>3.0901699437494941E-2</v>
      </c>
      <c r="D89">
        <f t="shared" si="10"/>
        <v>195.10565162951528</v>
      </c>
    </row>
    <row r="90" spans="1:4" x14ac:dyDescent="0.3">
      <c r="A90">
        <f t="shared" si="8"/>
        <v>9.2153384505300577E-3</v>
      </c>
      <c r="B90">
        <f t="shared" si="9"/>
        <v>1.9781476007338047E-4</v>
      </c>
      <c r="C90">
        <f t="shared" si="7"/>
        <v>2.0791169081776258E-2</v>
      </c>
      <c r="D90">
        <f t="shared" si="10"/>
        <v>197.81476007338048</v>
      </c>
    </row>
    <row r="91" spans="1:4" x14ac:dyDescent="0.3">
      <c r="A91">
        <f t="shared" si="8"/>
        <v>9.3200582056497169E-3</v>
      </c>
      <c r="B91">
        <f t="shared" si="9"/>
        <v>1.9945218953682729E-4</v>
      </c>
      <c r="C91">
        <f t="shared" si="7"/>
        <v>1.0452846326765618E-2</v>
      </c>
      <c r="D91">
        <f t="shared" si="10"/>
        <v>199.45218953682729</v>
      </c>
    </row>
    <row r="92" spans="1:4" x14ac:dyDescent="0.3">
      <c r="A92">
        <f t="shared" si="8"/>
        <v>9.424777960769376E-3</v>
      </c>
      <c r="B92">
        <f t="shared" si="9"/>
        <v>1.9999999999999998E-4</v>
      </c>
      <c r="C92">
        <f t="shared" si="7"/>
        <v>3.9202582152730866E-16</v>
      </c>
      <c r="D92">
        <f t="shared" si="10"/>
        <v>200</v>
      </c>
    </row>
    <row r="93" spans="1:4" x14ac:dyDescent="0.3">
      <c r="A93">
        <f t="shared" si="8"/>
        <v>9.5294977158890352E-3</v>
      </c>
      <c r="B93">
        <f t="shared" si="9"/>
        <v>1.9945218953682737E-4</v>
      </c>
      <c r="C93">
        <f t="shared" si="7"/>
        <v>-1.0452846326764837E-2</v>
      </c>
      <c r="D93">
        <f t="shared" si="10"/>
        <v>199.45218953682738</v>
      </c>
    </row>
    <row r="94" spans="1:4" x14ac:dyDescent="0.3">
      <c r="A94">
        <f t="shared" si="8"/>
        <v>9.6342174710086943E-3</v>
      </c>
      <c r="B94">
        <f t="shared" si="9"/>
        <v>1.9781476007338063E-4</v>
      </c>
      <c r="C94">
        <f t="shared" si="7"/>
        <v>-2.0791169081775487E-2</v>
      </c>
      <c r="D94">
        <f t="shared" si="10"/>
        <v>197.81476007338065</v>
      </c>
    </row>
    <row r="95" spans="1:4" x14ac:dyDescent="0.3">
      <c r="A95">
        <f t="shared" si="8"/>
        <v>9.7389372261283535E-3</v>
      </c>
      <c r="B95">
        <f t="shared" si="9"/>
        <v>1.9510565162951553E-4</v>
      </c>
      <c r="C95">
        <f t="shared" si="7"/>
        <v>-3.0901699437494198E-2</v>
      </c>
      <c r="D95">
        <f t="shared" si="10"/>
        <v>195.10565162951553</v>
      </c>
    </row>
    <row r="96" spans="1:4" x14ac:dyDescent="0.3">
      <c r="A96">
        <f t="shared" si="8"/>
        <v>9.8436569812480126E-3</v>
      </c>
      <c r="B96">
        <f t="shared" si="9"/>
        <v>1.9135454576426036E-4</v>
      </c>
      <c r="C96">
        <f t="shared" si="7"/>
        <v>-4.0673664307579384E-2</v>
      </c>
      <c r="D96">
        <f t="shared" si="10"/>
        <v>191.35454576426037</v>
      </c>
    </row>
    <row r="97" spans="1:4" x14ac:dyDescent="0.3">
      <c r="A97">
        <f t="shared" si="8"/>
        <v>9.9483767363676718E-3</v>
      </c>
      <c r="B97">
        <f t="shared" si="9"/>
        <v>1.8660254037844418E-4</v>
      </c>
      <c r="C97">
        <f t="shared" si="7"/>
        <v>-4.9999999999999455E-2</v>
      </c>
      <c r="D97">
        <f t="shared" si="10"/>
        <v>186.60254037844419</v>
      </c>
    </row>
    <row r="98" spans="1:4" x14ac:dyDescent="0.3">
      <c r="A98">
        <f t="shared" si="8"/>
        <v>1.0053096491487331E-2</v>
      </c>
      <c r="B98">
        <f t="shared" si="9"/>
        <v>1.8090169943749517E-4</v>
      </c>
      <c r="C98">
        <f t="shared" ref="C98:C129" si="11">E$2*F$2*H$2*SIN(H$2*A98)</f>
        <v>-5.8778525229246696E-2</v>
      </c>
      <c r="D98">
        <f t="shared" si="10"/>
        <v>180.90169943749518</v>
      </c>
    </row>
    <row r="99" spans="1:4" x14ac:dyDescent="0.3">
      <c r="A99">
        <f t="shared" ref="A99:A130" si="12">A98+I$2</f>
        <v>1.015781624660699E-2</v>
      </c>
      <c r="B99">
        <f t="shared" ref="B99:B130" si="13">E$2*F$2*(1-COS(A99*H$2))</f>
        <v>1.7431448254773998E-4</v>
      </c>
      <c r="C99">
        <f t="shared" si="11"/>
        <v>-6.6913060635885174E-2</v>
      </c>
      <c r="D99">
        <f t="shared" si="10"/>
        <v>174.31448254774</v>
      </c>
    </row>
    <row r="100" spans="1:4" x14ac:dyDescent="0.3">
      <c r="A100">
        <f t="shared" si="12"/>
        <v>1.0262536001726649E-2</v>
      </c>
      <c r="B100">
        <f t="shared" si="13"/>
        <v>1.669130606358864E-4</v>
      </c>
      <c r="C100">
        <f t="shared" si="11"/>
        <v>-7.4314482547738869E-2</v>
      </c>
      <c r="D100">
        <f t="shared" si="10"/>
        <v>166.91306063588641</v>
      </c>
    </row>
    <row r="101" spans="1:4" x14ac:dyDescent="0.3">
      <c r="A101">
        <f t="shared" si="12"/>
        <v>1.0367255756846308E-2</v>
      </c>
      <c r="B101">
        <f t="shared" si="13"/>
        <v>1.5877852522924805E-4</v>
      </c>
      <c r="C101">
        <f t="shared" si="11"/>
        <v>-8.0901699437494201E-2</v>
      </c>
      <c r="D101">
        <f t="shared" si="10"/>
        <v>158.77852522924806</v>
      </c>
    </row>
    <row r="102" spans="1:4" x14ac:dyDescent="0.3">
      <c r="A102">
        <f t="shared" si="12"/>
        <v>1.0471975511965968E-2</v>
      </c>
      <c r="B102">
        <f t="shared" si="13"/>
        <v>1.5000000000000091E-4</v>
      </c>
      <c r="C102">
        <f t="shared" si="11"/>
        <v>-8.6602540378443324E-2</v>
      </c>
      <c r="D102">
        <f t="shared" si="10"/>
        <v>150.00000000000091</v>
      </c>
    </row>
    <row r="103" spans="1:4" x14ac:dyDescent="0.3">
      <c r="A103">
        <f t="shared" si="12"/>
        <v>1.0576695267085627E-2</v>
      </c>
      <c r="B103">
        <f t="shared" si="13"/>
        <v>1.4067366430758091E-4</v>
      </c>
      <c r="C103">
        <f t="shared" si="11"/>
        <v>-9.1354545764259679E-2</v>
      </c>
      <c r="D103">
        <f t="shared" si="10"/>
        <v>140.67366430758091</v>
      </c>
    </row>
    <row r="104" spans="1:4" x14ac:dyDescent="0.3">
      <c r="A104">
        <f t="shared" si="12"/>
        <v>1.0681415022205286E-2</v>
      </c>
      <c r="B104">
        <f t="shared" si="13"/>
        <v>1.3090169943749577E-4</v>
      </c>
      <c r="C104">
        <f t="shared" si="11"/>
        <v>-9.5105651629515009E-2</v>
      </c>
      <c r="D104">
        <f t="shared" si="10"/>
        <v>130.90169943749578</v>
      </c>
    </row>
    <row r="105" spans="1:4" x14ac:dyDescent="0.3">
      <c r="A105">
        <f t="shared" si="12"/>
        <v>1.0786134777324945E-2</v>
      </c>
      <c r="B105">
        <f t="shared" si="13"/>
        <v>1.2079116908177713E-4</v>
      </c>
      <c r="C105">
        <f t="shared" si="11"/>
        <v>-9.7814760073380302E-2</v>
      </c>
      <c r="D105">
        <f t="shared" si="10"/>
        <v>120.79116908177714</v>
      </c>
    </row>
    <row r="106" spans="1:4" x14ac:dyDescent="0.3">
      <c r="A106">
        <f t="shared" si="12"/>
        <v>1.0890854532444604E-2</v>
      </c>
      <c r="B106">
        <f t="shared" si="13"/>
        <v>1.104528463267665E-4</v>
      </c>
      <c r="C106">
        <f t="shared" si="11"/>
        <v>-9.9452189536827204E-2</v>
      </c>
      <c r="D106">
        <f t="shared" si="10"/>
        <v>110.4528463267665</v>
      </c>
    </row>
    <row r="107" spans="1:4" x14ac:dyDescent="0.3">
      <c r="A107">
        <f t="shared" si="12"/>
        <v>1.0995574287564263E-2</v>
      </c>
      <c r="B107">
        <f t="shared" si="13"/>
        <v>1.0000000000000128E-4</v>
      </c>
      <c r="C107">
        <f t="shared" si="11"/>
        <v>-9.9999999999999992E-2</v>
      </c>
      <c r="D107">
        <f t="shared" si="10"/>
        <v>100.00000000000128</v>
      </c>
    </row>
    <row r="108" spans="1:4" x14ac:dyDescent="0.3">
      <c r="A108">
        <f t="shared" si="12"/>
        <v>1.1100294042683923E-2</v>
      </c>
      <c r="B108">
        <f t="shared" si="13"/>
        <v>8.9547153673236044E-5</v>
      </c>
      <c r="C108">
        <f t="shared" si="11"/>
        <v>-9.9452189536827482E-2</v>
      </c>
      <c r="D108">
        <f t="shared" si="10"/>
        <v>89.547153673236053</v>
      </c>
    </row>
    <row r="109" spans="1:4" x14ac:dyDescent="0.3">
      <c r="A109">
        <f t="shared" si="12"/>
        <v>1.1205013797803582E-2</v>
      </c>
      <c r="B109">
        <f t="shared" si="13"/>
        <v>7.920883091822537E-5</v>
      </c>
      <c r="C109">
        <f t="shared" si="11"/>
        <v>-9.7814760073380844E-2</v>
      </c>
      <c r="D109">
        <f t="shared" si="10"/>
        <v>79.208830918225374</v>
      </c>
    </row>
    <row r="110" spans="1:4" x14ac:dyDescent="0.3">
      <c r="A110">
        <f t="shared" si="12"/>
        <v>1.1309733552923241E-2</v>
      </c>
      <c r="B110">
        <f t="shared" si="13"/>
        <v>6.9098300562506654E-5</v>
      </c>
      <c r="C110">
        <f t="shared" si="11"/>
        <v>-9.51056516295158E-2</v>
      </c>
      <c r="D110">
        <f t="shared" si="10"/>
        <v>69.098300562506651</v>
      </c>
    </row>
    <row r="111" spans="1:4" x14ac:dyDescent="0.3">
      <c r="A111">
        <f t="shared" si="12"/>
        <v>1.14144533080429E-2</v>
      </c>
      <c r="B111">
        <f t="shared" si="13"/>
        <v>5.9326335692421425E-5</v>
      </c>
      <c r="C111">
        <f t="shared" si="11"/>
        <v>-9.1354545764260719E-2</v>
      </c>
      <c r="D111">
        <f t="shared" si="10"/>
        <v>59.326335692421431</v>
      </c>
    </row>
    <row r="112" spans="1:4" x14ac:dyDescent="0.3">
      <c r="A112">
        <f t="shared" si="12"/>
        <v>1.1519173063162559E-2</v>
      </c>
      <c r="B112">
        <f t="shared" si="13"/>
        <v>5.0000000000001317E-5</v>
      </c>
      <c r="C112">
        <f t="shared" si="11"/>
        <v>-8.6602540378444615E-2</v>
      </c>
      <c r="D112">
        <f t="shared" si="10"/>
        <v>50.000000000001322</v>
      </c>
    </row>
    <row r="113" spans="1:4" x14ac:dyDescent="0.3">
      <c r="A113">
        <f t="shared" si="12"/>
        <v>1.1623892818282218E-2</v>
      </c>
      <c r="B113">
        <f t="shared" si="13"/>
        <v>4.1221474770754012E-5</v>
      </c>
      <c r="C113">
        <f t="shared" si="11"/>
        <v>-8.09016994374957E-2</v>
      </c>
      <c r="D113">
        <f t="shared" si="10"/>
        <v>41.221474770754014</v>
      </c>
    </row>
    <row r="114" spans="1:4" x14ac:dyDescent="0.3">
      <c r="A114">
        <f t="shared" si="12"/>
        <v>1.1728612573401877E-2</v>
      </c>
      <c r="B114">
        <f t="shared" si="13"/>
        <v>3.3086939364115486E-5</v>
      </c>
      <c r="C114">
        <f t="shared" si="11"/>
        <v>-7.431448254774059E-2</v>
      </c>
      <c r="D114">
        <f t="shared" si="10"/>
        <v>33.086939364115487</v>
      </c>
    </row>
    <row r="115" spans="1:4" x14ac:dyDescent="0.3">
      <c r="A115">
        <f t="shared" si="12"/>
        <v>1.1833332328521537E-2</v>
      </c>
      <c r="B115">
        <f t="shared" si="13"/>
        <v>2.5685517452261827E-5</v>
      </c>
      <c r="C115">
        <f t="shared" si="11"/>
        <v>-6.6913060635887214E-2</v>
      </c>
      <c r="D115">
        <f t="shared" si="10"/>
        <v>25.685517452261827</v>
      </c>
    </row>
    <row r="116" spans="1:4" x14ac:dyDescent="0.3">
      <c r="A116">
        <f t="shared" si="12"/>
        <v>1.1938052083641196E-2</v>
      </c>
      <c r="B116">
        <f t="shared" si="13"/>
        <v>1.909830056250633E-5</v>
      </c>
      <c r="C116">
        <f t="shared" si="11"/>
        <v>-5.8778525229248785E-2</v>
      </c>
      <c r="D116">
        <f t="shared" si="10"/>
        <v>19.098300562506331</v>
      </c>
    </row>
    <row r="117" spans="1:4" x14ac:dyDescent="0.3">
      <c r="A117">
        <f t="shared" si="12"/>
        <v>1.2042771838760855E-2</v>
      </c>
      <c r="B117">
        <f t="shared" si="13"/>
        <v>1.3397459621557105E-5</v>
      </c>
      <c r="C117">
        <f t="shared" si="11"/>
        <v>-5.0000000000001675E-2</v>
      </c>
      <c r="D117">
        <f t="shared" si="10"/>
        <v>13.397459621557106</v>
      </c>
    </row>
    <row r="118" spans="1:4" x14ac:dyDescent="0.3">
      <c r="A118">
        <f t="shared" si="12"/>
        <v>1.2147491593880514E-2</v>
      </c>
      <c r="B118">
        <f t="shared" si="13"/>
        <v>8.6454542357407445E-6</v>
      </c>
      <c r="C118">
        <f t="shared" si="11"/>
        <v>-4.0673664307581903E-2</v>
      </c>
      <c r="D118">
        <f t="shared" si="10"/>
        <v>8.6454542357407451</v>
      </c>
    </row>
    <row r="119" spans="1:4" x14ac:dyDescent="0.3">
      <c r="A119">
        <f t="shared" si="12"/>
        <v>1.2252211349000173E-2</v>
      </c>
      <c r="B119">
        <f t="shared" si="13"/>
        <v>4.8943483704852573E-6</v>
      </c>
      <c r="C119">
        <f t="shared" si="11"/>
        <v>-3.0901699437496641E-2</v>
      </c>
      <c r="D119">
        <f t="shared" si="10"/>
        <v>4.8943483704852575</v>
      </c>
    </row>
    <row r="120" spans="1:4" x14ac:dyDescent="0.3">
      <c r="A120">
        <f t="shared" si="12"/>
        <v>1.2356931104119832E-2</v>
      </c>
      <c r="B120">
        <f t="shared" si="13"/>
        <v>2.1852399266198749E-6</v>
      </c>
      <c r="C120">
        <f t="shared" si="11"/>
        <v>-2.0791169081778006E-2</v>
      </c>
      <c r="D120">
        <f t="shared" si="10"/>
        <v>2.1852399266198748</v>
      </c>
    </row>
    <row r="121" spans="1:4" x14ac:dyDescent="0.3">
      <c r="A121">
        <f t="shared" si="12"/>
        <v>1.2461650859239492E-2</v>
      </c>
      <c r="B121">
        <f t="shared" si="13"/>
        <v>5.4781046317290411E-7</v>
      </c>
      <c r="C121">
        <f t="shared" si="11"/>
        <v>-1.0452846326767573E-2</v>
      </c>
      <c r="D121">
        <f t="shared" si="10"/>
        <v>0.54781046317290416</v>
      </c>
    </row>
    <row r="122" spans="1:4" x14ac:dyDescent="0.3">
      <c r="A122">
        <f t="shared" si="12"/>
        <v>1.2566370614359151E-2</v>
      </c>
      <c r="B122">
        <f t="shared" si="13"/>
        <v>0</v>
      </c>
      <c r="C122">
        <f t="shared" si="11"/>
        <v>-2.1806341454766453E-15</v>
      </c>
      <c r="D122">
        <f t="shared" si="10"/>
        <v>0</v>
      </c>
    </row>
    <row r="123" spans="1:4" x14ac:dyDescent="0.3">
      <c r="A123">
        <f t="shared" si="12"/>
        <v>1.267109036947881E-2</v>
      </c>
      <c r="B123">
        <f t="shared" si="13"/>
        <v>5.478104631724267E-7</v>
      </c>
      <c r="C123">
        <f t="shared" si="11"/>
        <v>1.0452846326763059E-2</v>
      </c>
      <c r="D123">
        <f t="shared" si="10"/>
        <v>0.54781046317242676</v>
      </c>
    </row>
    <row r="124" spans="1:4" x14ac:dyDescent="0.3">
      <c r="A124">
        <f t="shared" si="12"/>
        <v>1.2775810124598469E-2</v>
      </c>
      <c r="B124">
        <f t="shared" si="13"/>
        <v>2.1852399266189313E-6</v>
      </c>
      <c r="C124">
        <f t="shared" si="11"/>
        <v>2.0791169081773569E-2</v>
      </c>
      <c r="D124">
        <f t="shared" si="10"/>
        <v>2.1852399266189315</v>
      </c>
    </row>
    <row r="125" spans="1:4" x14ac:dyDescent="0.3">
      <c r="A125">
        <f t="shared" si="12"/>
        <v>1.2880529879718128E-2</v>
      </c>
      <c r="B125">
        <f t="shared" si="13"/>
        <v>4.894348370483914E-6</v>
      </c>
      <c r="C125">
        <f t="shared" si="11"/>
        <v>3.0901699437492495E-2</v>
      </c>
      <c r="D125">
        <f t="shared" si="10"/>
        <v>4.8943483704839146</v>
      </c>
    </row>
    <row r="126" spans="1:4" x14ac:dyDescent="0.3">
      <c r="A126">
        <f t="shared" si="12"/>
        <v>1.2985249634837787E-2</v>
      </c>
      <c r="B126">
        <f t="shared" si="13"/>
        <v>8.645454235738903E-6</v>
      </c>
      <c r="C126">
        <f t="shared" si="11"/>
        <v>4.0673664307577753E-2</v>
      </c>
      <c r="D126">
        <f t="shared" si="10"/>
        <v>8.645454235738903</v>
      </c>
    </row>
    <row r="127" spans="1:4" x14ac:dyDescent="0.3">
      <c r="A127">
        <f t="shared" si="12"/>
        <v>1.3089969389957446E-2</v>
      </c>
      <c r="B127">
        <f t="shared" si="13"/>
        <v>1.339745962155484E-5</v>
      </c>
      <c r="C127">
        <f t="shared" si="11"/>
        <v>4.9999999999997748E-2</v>
      </c>
      <c r="D127">
        <f t="shared" si="10"/>
        <v>13.397459621554841</v>
      </c>
    </row>
    <row r="128" spans="1:4" x14ac:dyDescent="0.3">
      <c r="A128">
        <f t="shared" si="12"/>
        <v>1.3194689145077106E-2</v>
      </c>
      <c r="B128">
        <f t="shared" si="13"/>
        <v>1.9098300562503765E-5</v>
      </c>
      <c r="C128">
        <f t="shared" si="11"/>
        <v>5.8778525229245253E-2</v>
      </c>
      <c r="D128">
        <f t="shared" si="10"/>
        <v>19.098300562503766</v>
      </c>
    </row>
    <row r="129" spans="1:4" x14ac:dyDescent="0.3">
      <c r="A129">
        <f t="shared" si="12"/>
        <v>1.3299408900196765E-2</v>
      </c>
      <c r="B129">
        <f t="shared" si="13"/>
        <v>2.5685517452258798E-5</v>
      </c>
      <c r="C129">
        <f t="shared" si="11"/>
        <v>6.6913060635883842E-2</v>
      </c>
      <c r="D129">
        <f t="shared" si="10"/>
        <v>25.6855174522588</v>
      </c>
    </row>
    <row r="130" spans="1:4" x14ac:dyDescent="0.3">
      <c r="A130">
        <f t="shared" si="12"/>
        <v>1.3404128655316424E-2</v>
      </c>
      <c r="B130">
        <f t="shared" si="13"/>
        <v>3.3086939364112112E-5</v>
      </c>
      <c r="C130">
        <f t="shared" ref="C130:C161" si="14">E$2*F$2*H$2*SIN(H$2*A130)</f>
        <v>7.4314482547737565E-2</v>
      </c>
      <c r="D130">
        <f t="shared" si="10"/>
        <v>33.086939364112112</v>
      </c>
    </row>
    <row r="131" spans="1:4" x14ac:dyDescent="0.3">
      <c r="A131">
        <f t="shared" ref="A131:A162" si="15">A130+I$2</f>
        <v>1.3508848410436083E-2</v>
      </c>
      <c r="B131">
        <f t="shared" ref="B131:B162" si="16">E$2*F$2*(1-COS(A131*H$2))</f>
        <v>4.1221474770750482E-5</v>
      </c>
      <c r="C131">
        <f t="shared" si="14"/>
        <v>8.0901699437493146E-2</v>
      </c>
      <c r="D131">
        <f t="shared" ref="D131:D194" si="17">B131/$E$2</f>
        <v>41.221474770750483</v>
      </c>
    </row>
    <row r="132" spans="1:4" x14ac:dyDescent="0.3">
      <c r="A132">
        <f t="shared" si="15"/>
        <v>1.3613568165555742E-2</v>
      </c>
      <c r="B132">
        <f t="shared" si="16"/>
        <v>4.9999999999997543E-5</v>
      </c>
      <c r="C132">
        <f t="shared" si="14"/>
        <v>8.6602540378442436E-2</v>
      </c>
      <c r="D132">
        <f t="shared" si="17"/>
        <v>49.999999999997542</v>
      </c>
    </row>
    <row r="133" spans="1:4" x14ac:dyDescent="0.3">
      <c r="A133">
        <f t="shared" si="15"/>
        <v>1.3718287920675401E-2</v>
      </c>
      <c r="B133">
        <f t="shared" si="16"/>
        <v>5.9326335692417271E-5</v>
      </c>
      <c r="C133">
        <f t="shared" si="14"/>
        <v>9.1354545764258874E-2</v>
      </c>
      <c r="D133">
        <f t="shared" si="17"/>
        <v>59.326335692417274</v>
      </c>
    </row>
    <row r="134" spans="1:4" x14ac:dyDescent="0.3">
      <c r="A134">
        <f t="shared" si="15"/>
        <v>1.3823007675795061E-2</v>
      </c>
      <c r="B134">
        <f t="shared" si="16"/>
        <v>6.9098300562502494E-5</v>
      </c>
      <c r="C134">
        <f t="shared" si="14"/>
        <v>9.5105651629514454E-2</v>
      </c>
      <c r="D134">
        <f t="shared" si="17"/>
        <v>69.098300562502502</v>
      </c>
    </row>
    <row r="135" spans="1:4" x14ac:dyDescent="0.3">
      <c r="A135">
        <f t="shared" si="15"/>
        <v>1.392772743091472E-2</v>
      </c>
      <c r="B135">
        <f t="shared" si="16"/>
        <v>7.9208830918221115E-5</v>
      </c>
      <c r="C135">
        <f t="shared" si="14"/>
        <v>9.7814760073379928E-2</v>
      </c>
      <c r="D135">
        <f t="shared" si="17"/>
        <v>79.208830918221125</v>
      </c>
    </row>
    <row r="136" spans="1:4" x14ac:dyDescent="0.3">
      <c r="A136">
        <f t="shared" si="15"/>
        <v>1.4032447186034379E-2</v>
      </c>
      <c r="B136">
        <f t="shared" si="16"/>
        <v>8.9547153673231531E-5</v>
      </c>
      <c r="C136">
        <f t="shared" si="14"/>
        <v>9.9452189536826996E-2</v>
      </c>
      <c r="D136">
        <f t="shared" si="17"/>
        <v>89.547153673231534</v>
      </c>
    </row>
    <row r="137" spans="1:4" x14ac:dyDescent="0.3">
      <c r="A137">
        <f t="shared" si="15"/>
        <v>1.4137166941154038E-2</v>
      </c>
      <c r="B137">
        <f t="shared" si="16"/>
        <v>9.9999999999996915E-5</v>
      </c>
      <c r="C137">
        <f t="shared" si="14"/>
        <v>9.9999999999999992E-2</v>
      </c>
      <c r="D137">
        <f t="shared" si="17"/>
        <v>99.999999999996916</v>
      </c>
    </row>
    <row r="138" spans="1:4" x14ac:dyDescent="0.3">
      <c r="A138">
        <f t="shared" si="15"/>
        <v>1.4241886696273697E-2</v>
      </c>
      <c r="B138">
        <f t="shared" si="16"/>
        <v>1.1045284632676216E-4</v>
      </c>
      <c r="C138">
        <f t="shared" si="14"/>
        <v>9.9452189536827648E-2</v>
      </c>
      <c r="D138">
        <f t="shared" si="17"/>
        <v>110.45284632676217</v>
      </c>
    </row>
    <row r="139" spans="1:4" x14ac:dyDescent="0.3">
      <c r="A139">
        <f t="shared" si="15"/>
        <v>1.4346606451393356E-2</v>
      </c>
      <c r="B139">
        <f t="shared" si="16"/>
        <v>1.2079116908177269E-4</v>
      </c>
      <c r="C139">
        <f t="shared" si="14"/>
        <v>9.7814760073381246E-2</v>
      </c>
      <c r="D139">
        <f t="shared" si="17"/>
        <v>120.79116908177269</v>
      </c>
    </row>
    <row r="140" spans="1:4" x14ac:dyDescent="0.3">
      <c r="A140">
        <f t="shared" si="15"/>
        <v>1.4451326206513015E-2</v>
      </c>
      <c r="B140">
        <f t="shared" si="16"/>
        <v>1.3090169943749162E-4</v>
      </c>
      <c r="C140">
        <f t="shared" si="14"/>
        <v>9.5105651629516355E-2</v>
      </c>
      <c r="D140">
        <f t="shared" si="17"/>
        <v>130.90169943749163</v>
      </c>
    </row>
    <row r="141" spans="1:4" x14ac:dyDescent="0.3">
      <c r="A141">
        <f t="shared" si="15"/>
        <v>1.4556045961632675E-2</v>
      </c>
      <c r="B141">
        <f t="shared" si="16"/>
        <v>1.4067366430757695E-4</v>
      </c>
      <c r="C141">
        <f t="shared" si="14"/>
        <v>9.1354545764261455E-2</v>
      </c>
      <c r="D141">
        <f t="shared" si="17"/>
        <v>140.67366430757696</v>
      </c>
    </row>
    <row r="142" spans="1:4" x14ac:dyDescent="0.3">
      <c r="A142">
        <f t="shared" si="15"/>
        <v>1.4660765716752334E-2</v>
      </c>
      <c r="B142">
        <f t="shared" si="16"/>
        <v>1.4999999999999698E-4</v>
      </c>
      <c r="C142">
        <f t="shared" si="14"/>
        <v>8.66025403784456E-2</v>
      </c>
      <c r="D142">
        <f t="shared" si="17"/>
        <v>149.99999999999699</v>
      </c>
    </row>
    <row r="143" spans="1:4" x14ac:dyDescent="0.3">
      <c r="A143">
        <f t="shared" si="15"/>
        <v>1.4765485471871993E-2</v>
      </c>
      <c r="B143">
        <f t="shared" si="16"/>
        <v>1.5877852522924439E-4</v>
      </c>
      <c r="C143">
        <f t="shared" si="14"/>
        <v>8.0901699437496866E-2</v>
      </c>
      <c r="D143">
        <f t="shared" si="17"/>
        <v>158.77852522924439</v>
      </c>
    </row>
    <row r="144" spans="1:4" x14ac:dyDescent="0.3">
      <c r="A144">
        <f t="shared" si="15"/>
        <v>1.4870205226991652E-2</v>
      </c>
      <c r="B144">
        <f t="shared" si="16"/>
        <v>1.6691306063588317E-4</v>
      </c>
      <c r="C144">
        <f t="shared" si="14"/>
        <v>7.4314482547741798E-2</v>
      </c>
      <c r="D144">
        <f t="shared" si="17"/>
        <v>166.91306063588317</v>
      </c>
    </row>
    <row r="145" spans="1:4" x14ac:dyDescent="0.3">
      <c r="A145">
        <f t="shared" si="15"/>
        <v>1.4974924982111311E-2</v>
      </c>
      <c r="B145">
        <f t="shared" si="16"/>
        <v>1.7431448254773694E-4</v>
      </c>
      <c r="C145">
        <f t="shared" si="14"/>
        <v>6.6913060635888533E-2</v>
      </c>
      <c r="D145">
        <f t="shared" si="17"/>
        <v>174.31448254773696</v>
      </c>
    </row>
    <row r="146" spans="1:4" x14ac:dyDescent="0.3">
      <c r="A146">
        <f t="shared" si="15"/>
        <v>1.507964473723097E-2</v>
      </c>
      <c r="B146">
        <f t="shared" si="16"/>
        <v>1.8090169943749251E-4</v>
      </c>
      <c r="C146">
        <f t="shared" si="14"/>
        <v>5.8778525229250374E-2</v>
      </c>
      <c r="D146">
        <f t="shared" si="17"/>
        <v>180.90169943749251</v>
      </c>
    </row>
    <row r="147" spans="1:4" x14ac:dyDescent="0.3">
      <c r="A147">
        <f t="shared" si="15"/>
        <v>1.518436449235063E-2</v>
      </c>
      <c r="B147">
        <f t="shared" si="16"/>
        <v>1.8660254037844199E-4</v>
      </c>
      <c r="C147">
        <f t="shared" si="14"/>
        <v>5.0000000000003229E-2</v>
      </c>
      <c r="D147">
        <f t="shared" si="17"/>
        <v>186.602540378442</v>
      </c>
    </row>
    <row r="148" spans="1:4" x14ac:dyDescent="0.3">
      <c r="A148">
        <f t="shared" si="15"/>
        <v>1.5289084247470289E-2</v>
      </c>
      <c r="B148">
        <f t="shared" si="16"/>
        <v>1.9135454576425852E-4</v>
      </c>
      <c r="C148">
        <f t="shared" si="14"/>
        <v>4.0673664307583533E-2</v>
      </c>
      <c r="D148">
        <f t="shared" si="17"/>
        <v>191.35454576425852</v>
      </c>
    </row>
    <row r="149" spans="1:4" x14ac:dyDescent="0.3">
      <c r="A149">
        <f t="shared" si="15"/>
        <v>1.5393804002589948E-2</v>
      </c>
      <c r="B149">
        <f t="shared" si="16"/>
        <v>1.951056516295141E-4</v>
      </c>
      <c r="C149">
        <f t="shared" si="14"/>
        <v>3.0901699437498511E-2</v>
      </c>
      <c r="D149">
        <f t="shared" si="17"/>
        <v>195.10565162951411</v>
      </c>
    </row>
    <row r="150" spans="1:4" x14ac:dyDescent="0.3">
      <c r="A150">
        <f t="shared" si="15"/>
        <v>1.5498523757709607E-2</v>
      </c>
      <c r="B150">
        <f t="shared" si="16"/>
        <v>1.9781476007337974E-4</v>
      </c>
      <c r="C150">
        <f t="shared" si="14"/>
        <v>2.0791169081779755E-2</v>
      </c>
      <c r="D150">
        <f t="shared" si="17"/>
        <v>197.81476007337974</v>
      </c>
    </row>
    <row r="151" spans="1:4" x14ac:dyDescent="0.3">
      <c r="A151">
        <f t="shared" si="15"/>
        <v>1.5603243512829266E-2</v>
      </c>
      <c r="B151">
        <f t="shared" si="16"/>
        <v>1.9945218953682688E-4</v>
      </c>
      <c r="C151">
        <f t="shared" si="14"/>
        <v>1.0452846326769353E-2</v>
      </c>
      <c r="D151">
        <f t="shared" si="17"/>
        <v>199.45218953682689</v>
      </c>
    </row>
    <row r="152" spans="1:4" x14ac:dyDescent="0.3">
      <c r="A152">
        <f t="shared" si="15"/>
        <v>1.5707963267948925E-2</v>
      </c>
      <c r="B152">
        <f t="shared" si="16"/>
        <v>1.9999999999999998E-4</v>
      </c>
      <c r="C152">
        <f t="shared" si="14"/>
        <v>4.1468781533660068E-15</v>
      </c>
      <c r="D152">
        <f t="shared" si="17"/>
        <v>200</v>
      </c>
    </row>
    <row r="153" spans="1:4" x14ac:dyDescent="0.3">
      <c r="A153">
        <f t="shared" si="15"/>
        <v>1.5812683023068586E-2</v>
      </c>
      <c r="B153">
        <f t="shared" si="16"/>
        <v>1.9945218953682772E-4</v>
      </c>
      <c r="C153">
        <f t="shared" si="14"/>
        <v>-1.0452846326761458E-2</v>
      </c>
      <c r="D153">
        <f t="shared" si="17"/>
        <v>199.45218953682772</v>
      </c>
    </row>
    <row r="154" spans="1:4" x14ac:dyDescent="0.3">
      <c r="A154">
        <f t="shared" si="15"/>
        <v>1.5917402778188247E-2</v>
      </c>
      <c r="B154">
        <f t="shared" si="16"/>
        <v>1.9781476007338136E-4</v>
      </c>
      <c r="C154">
        <f t="shared" si="14"/>
        <v>-2.0791169081772164E-2</v>
      </c>
      <c r="D154">
        <f t="shared" si="17"/>
        <v>197.81476007338136</v>
      </c>
    </row>
    <row r="155" spans="1:4" x14ac:dyDescent="0.3">
      <c r="A155">
        <f t="shared" si="15"/>
        <v>1.6022122533307908E-2</v>
      </c>
      <c r="B155">
        <f t="shared" si="16"/>
        <v>1.9510565162951651E-4</v>
      </c>
      <c r="C155">
        <f t="shared" si="14"/>
        <v>-3.0901699437491135E-2</v>
      </c>
      <c r="D155">
        <f t="shared" si="17"/>
        <v>195.10565162951653</v>
      </c>
    </row>
    <row r="156" spans="1:4" x14ac:dyDescent="0.3">
      <c r="A156">
        <f t="shared" si="15"/>
        <v>1.6126842288427569E-2</v>
      </c>
      <c r="B156">
        <f t="shared" si="16"/>
        <v>1.9135454576426158E-4</v>
      </c>
      <c r="C156">
        <f t="shared" si="14"/>
        <v>-4.0673664307576601E-2</v>
      </c>
      <c r="D156">
        <f t="shared" si="17"/>
        <v>191.35454576426159</v>
      </c>
    </row>
    <row r="157" spans="1:4" x14ac:dyDescent="0.3">
      <c r="A157">
        <f t="shared" si="15"/>
        <v>1.623156204354723E-2</v>
      </c>
      <c r="B157">
        <f t="shared" si="16"/>
        <v>1.866025403784457E-4</v>
      </c>
      <c r="C157">
        <f t="shared" si="14"/>
        <v>-4.9999999999996818E-2</v>
      </c>
      <c r="D157">
        <f t="shared" si="17"/>
        <v>186.6025403784457</v>
      </c>
    </row>
    <row r="158" spans="1:4" x14ac:dyDescent="0.3">
      <c r="A158">
        <f t="shared" si="15"/>
        <v>1.6336281798666891E-2</v>
      </c>
      <c r="B158">
        <f t="shared" si="16"/>
        <v>1.8090169943749663E-4</v>
      </c>
      <c r="C158">
        <f t="shared" si="14"/>
        <v>-5.8778525229244663E-2</v>
      </c>
      <c r="D158">
        <f t="shared" si="17"/>
        <v>180.90169943749663</v>
      </c>
    </row>
    <row r="159" spans="1:4" x14ac:dyDescent="0.3">
      <c r="A159">
        <f t="shared" si="15"/>
        <v>1.6441001553786552E-2</v>
      </c>
      <c r="B159">
        <f t="shared" si="16"/>
        <v>1.7431448254774155E-4</v>
      </c>
      <c r="C159">
        <f t="shared" si="14"/>
        <v>-6.6913060635883426E-2</v>
      </c>
      <c r="D159">
        <f t="shared" si="17"/>
        <v>174.31448254774156</v>
      </c>
    </row>
    <row r="160" spans="1:4" x14ac:dyDescent="0.3">
      <c r="A160">
        <f t="shared" si="15"/>
        <v>1.6545721308906212E-2</v>
      </c>
      <c r="B160">
        <f t="shared" si="16"/>
        <v>1.6691306063588814E-4</v>
      </c>
      <c r="C160">
        <f t="shared" si="14"/>
        <v>-7.4314482547737315E-2</v>
      </c>
      <c r="D160">
        <f t="shared" si="17"/>
        <v>166.91306063588814</v>
      </c>
    </row>
    <row r="161" spans="1:4" x14ac:dyDescent="0.3">
      <c r="A161">
        <f t="shared" si="15"/>
        <v>1.6650441064025873E-2</v>
      </c>
      <c r="B161">
        <f t="shared" si="16"/>
        <v>1.5877852522924981E-4</v>
      </c>
      <c r="C161">
        <f t="shared" si="14"/>
        <v>-8.0901699437492924E-2</v>
      </c>
      <c r="D161">
        <f t="shared" si="17"/>
        <v>158.77852522924982</v>
      </c>
    </row>
    <row r="162" spans="1:4" x14ac:dyDescent="0.3">
      <c r="A162">
        <f t="shared" si="15"/>
        <v>1.6755160819145534E-2</v>
      </c>
      <c r="B162">
        <f t="shared" si="16"/>
        <v>1.5000000000000262E-4</v>
      </c>
      <c r="C162">
        <f t="shared" ref="C162:C193" si="18">E$2*F$2*H$2*SIN(H$2*A162)</f>
        <v>-8.6602540378442339E-2</v>
      </c>
      <c r="D162">
        <f t="shared" si="17"/>
        <v>150.00000000000261</v>
      </c>
    </row>
    <row r="163" spans="1:4" x14ac:dyDescent="0.3">
      <c r="A163">
        <f t="shared" ref="A163:A194" si="19">A162+I$2</f>
        <v>1.6859880574265195E-2</v>
      </c>
      <c r="B163">
        <f t="shared" ref="B163:B194" si="20">E$2*F$2*(1-COS(A163*H$2))</f>
        <v>1.4067366430758272E-4</v>
      </c>
      <c r="C163">
        <f t="shared" si="18"/>
        <v>-9.1354545764258874E-2</v>
      </c>
      <c r="D163">
        <f t="shared" si="17"/>
        <v>140.67366430758273</v>
      </c>
    </row>
    <row r="164" spans="1:4" x14ac:dyDescent="0.3">
      <c r="A164">
        <f t="shared" si="19"/>
        <v>1.6964600329384856E-2</v>
      </c>
      <c r="B164">
        <f t="shared" si="20"/>
        <v>1.3090169943749748E-4</v>
      </c>
      <c r="C164">
        <f t="shared" si="18"/>
        <v>-9.510565162951444E-2</v>
      </c>
      <c r="D164">
        <f t="shared" si="17"/>
        <v>130.90169943749748</v>
      </c>
    </row>
    <row r="165" spans="1:4" x14ac:dyDescent="0.3">
      <c r="A165">
        <f t="shared" si="19"/>
        <v>1.7069320084504517E-2</v>
      </c>
      <c r="B165">
        <f t="shared" si="20"/>
        <v>1.2079116908177837E-4</v>
      </c>
      <c r="C165">
        <f t="shared" si="18"/>
        <v>-9.7814760073380039E-2</v>
      </c>
      <c r="D165">
        <f t="shared" si="17"/>
        <v>120.79116908177838</v>
      </c>
    </row>
    <row r="166" spans="1:4" x14ac:dyDescent="0.3">
      <c r="A166">
        <f t="shared" si="19"/>
        <v>1.7174039839624178E-2</v>
      </c>
      <c r="B166">
        <f t="shared" si="20"/>
        <v>1.1045284632676776E-4</v>
      </c>
      <c r="C166">
        <f t="shared" si="18"/>
        <v>-9.9452189536827065E-2</v>
      </c>
      <c r="D166">
        <f t="shared" si="17"/>
        <v>110.45284632676777</v>
      </c>
    </row>
    <row r="167" spans="1:4" x14ac:dyDescent="0.3">
      <c r="A167">
        <f t="shared" si="19"/>
        <v>1.7278759594743839E-2</v>
      </c>
      <c r="B167">
        <f t="shared" si="20"/>
        <v>1.0000000000000236E-4</v>
      </c>
      <c r="C167">
        <f t="shared" si="18"/>
        <v>-9.9999999999999992E-2</v>
      </c>
      <c r="D167">
        <f t="shared" si="17"/>
        <v>100.00000000000237</v>
      </c>
    </row>
    <row r="168" spans="1:4" x14ac:dyDescent="0.3">
      <c r="A168">
        <f t="shared" si="19"/>
        <v>1.73834793498635E-2</v>
      </c>
      <c r="B168">
        <f t="shared" si="20"/>
        <v>8.9547153673236952E-5</v>
      </c>
      <c r="C168">
        <f t="shared" si="18"/>
        <v>-9.9452189536827565E-2</v>
      </c>
      <c r="D168">
        <f t="shared" si="17"/>
        <v>89.547153673236963</v>
      </c>
    </row>
    <row r="169" spans="1:4" x14ac:dyDescent="0.3">
      <c r="A169">
        <f t="shared" si="19"/>
        <v>1.748819910498316E-2</v>
      </c>
      <c r="B169">
        <f t="shared" si="20"/>
        <v>7.9208830918226278E-5</v>
      </c>
      <c r="C169">
        <f t="shared" si="18"/>
        <v>-9.7814760073381024E-2</v>
      </c>
      <c r="D169">
        <f t="shared" si="17"/>
        <v>79.208830918226283</v>
      </c>
    </row>
    <row r="170" spans="1:4" x14ac:dyDescent="0.3">
      <c r="A170">
        <f t="shared" si="19"/>
        <v>1.7592918860102821E-2</v>
      </c>
      <c r="B170">
        <f t="shared" si="20"/>
        <v>6.9098300562507332E-5</v>
      </c>
      <c r="C170">
        <f t="shared" si="18"/>
        <v>-9.5105651629516036E-2</v>
      </c>
      <c r="D170">
        <f t="shared" si="17"/>
        <v>69.098300562507333</v>
      </c>
    </row>
    <row r="171" spans="1:4" x14ac:dyDescent="0.3">
      <c r="A171">
        <f t="shared" si="19"/>
        <v>1.7697638615222482E-2</v>
      </c>
      <c r="B171">
        <f t="shared" si="20"/>
        <v>5.9326335692421933E-5</v>
      </c>
      <c r="C171">
        <f t="shared" si="18"/>
        <v>-9.1354545764260955E-2</v>
      </c>
      <c r="D171">
        <f t="shared" si="17"/>
        <v>59.326335692421935</v>
      </c>
    </row>
    <row r="172" spans="1:4" x14ac:dyDescent="0.3">
      <c r="A172">
        <f t="shared" si="19"/>
        <v>1.7802358370342143E-2</v>
      </c>
      <c r="B172">
        <f t="shared" si="20"/>
        <v>5.0000000000001486E-5</v>
      </c>
      <c r="C172">
        <f t="shared" si="18"/>
        <v>-8.6602540378444712E-2</v>
      </c>
      <c r="D172">
        <f t="shared" si="17"/>
        <v>50.000000000001492</v>
      </c>
    </row>
    <row r="173" spans="1:4" x14ac:dyDescent="0.3">
      <c r="A173">
        <f t="shared" si="19"/>
        <v>1.7907078125461804E-2</v>
      </c>
      <c r="B173">
        <f t="shared" si="20"/>
        <v>4.1221474770754039E-5</v>
      </c>
      <c r="C173">
        <f t="shared" si="18"/>
        <v>-8.0901699437495714E-2</v>
      </c>
      <c r="D173">
        <f t="shared" si="17"/>
        <v>41.221474770754043</v>
      </c>
    </row>
    <row r="174" spans="1:4" x14ac:dyDescent="0.3">
      <c r="A174">
        <f t="shared" si="19"/>
        <v>1.8011797880581465E-2</v>
      </c>
      <c r="B174">
        <f t="shared" si="20"/>
        <v>3.3086939364115371E-5</v>
      </c>
      <c r="C174">
        <f t="shared" si="18"/>
        <v>-7.4314482547740493E-2</v>
      </c>
      <c r="D174">
        <f t="shared" si="17"/>
        <v>33.086939364115374</v>
      </c>
    </row>
    <row r="175" spans="1:4" x14ac:dyDescent="0.3">
      <c r="A175">
        <f t="shared" si="19"/>
        <v>1.8116517635701126E-2</v>
      </c>
      <c r="B175">
        <f t="shared" si="20"/>
        <v>2.5685517452261617E-5</v>
      </c>
      <c r="C175">
        <f t="shared" si="18"/>
        <v>-6.6913060635886978E-2</v>
      </c>
      <c r="D175">
        <f t="shared" si="17"/>
        <v>25.685517452261617</v>
      </c>
    </row>
    <row r="176" spans="1:4" x14ac:dyDescent="0.3">
      <c r="A176">
        <f t="shared" si="19"/>
        <v>1.8221237390820787E-2</v>
      </c>
      <c r="B176">
        <f t="shared" si="20"/>
        <v>1.909830056250613E-5</v>
      </c>
      <c r="C176">
        <f t="shared" si="18"/>
        <v>-5.8778525229248521E-2</v>
      </c>
      <c r="D176">
        <f t="shared" si="17"/>
        <v>19.098300562506132</v>
      </c>
    </row>
    <row r="177" spans="1:4" x14ac:dyDescent="0.3">
      <c r="A177">
        <f t="shared" si="19"/>
        <v>1.8325957145940448E-2</v>
      </c>
      <c r="B177">
        <f t="shared" si="20"/>
        <v>1.339745962155685E-5</v>
      </c>
      <c r="C177">
        <f t="shared" si="18"/>
        <v>-5.0000000000001238E-2</v>
      </c>
      <c r="D177">
        <f t="shared" si="17"/>
        <v>13.397459621556852</v>
      </c>
    </row>
    <row r="178" spans="1:4" x14ac:dyDescent="0.3">
      <c r="A178">
        <f t="shared" si="19"/>
        <v>1.8430676901060108E-2</v>
      </c>
      <c r="B178">
        <f t="shared" si="20"/>
        <v>8.6454542357403226E-6</v>
      </c>
      <c r="C178">
        <f t="shared" si="18"/>
        <v>-4.0673664307580952E-2</v>
      </c>
      <c r="D178">
        <f t="shared" si="17"/>
        <v>8.6454542357403223</v>
      </c>
    </row>
    <row r="179" spans="1:4" x14ac:dyDescent="0.3">
      <c r="A179">
        <f t="shared" si="19"/>
        <v>1.8535396656179769E-2</v>
      </c>
      <c r="B179">
        <f t="shared" si="20"/>
        <v>4.8943483704849355E-6</v>
      </c>
      <c r="C179">
        <f t="shared" si="18"/>
        <v>-3.0901699437495652E-2</v>
      </c>
      <c r="D179">
        <f t="shared" si="17"/>
        <v>4.894348370484936</v>
      </c>
    </row>
    <row r="180" spans="1:4" x14ac:dyDescent="0.3">
      <c r="A180">
        <f t="shared" si="19"/>
        <v>1.864011641129943E-2</v>
      </c>
      <c r="B180">
        <f t="shared" si="20"/>
        <v>2.1852399266196195E-6</v>
      </c>
      <c r="C180">
        <f t="shared" si="18"/>
        <v>-2.0791169081776816E-2</v>
      </c>
      <c r="D180">
        <f t="shared" si="17"/>
        <v>2.1852399266196194</v>
      </c>
    </row>
    <row r="181" spans="1:4" x14ac:dyDescent="0.3">
      <c r="A181">
        <f t="shared" si="19"/>
        <v>1.8744836166419091E-2</v>
      </c>
      <c r="B181">
        <f t="shared" si="20"/>
        <v>5.478104631727598E-7</v>
      </c>
      <c r="C181">
        <f t="shared" si="18"/>
        <v>-1.0452846326766184E-2</v>
      </c>
      <c r="D181">
        <f t="shared" si="17"/>
        <v>0.54781046317275983</v>
      </c>
    </row>
    <row r="182" spans="1:4" x14ac:dyDescent="0.3">
      <c r="A182">
        <f t="shared" si="19"/>
        <v>1.8849555921538752E-2</v>
      </c>
      <c r="B182">
        <f t="shared" si="20"/>
        <v>0</v>
      </c>
      <c r="C182">
        <f t="shared" si="18"/>
        <v>-7.8405164305461733E-16</v>
      </c>
      <c r="D182">
        <f t="shared" si="17"/>
        <v>0</v>
      </c>
    </row>
    <row r="183" spans="1:4" x14ac:dyDescent="0.3">
      <c r="A183">
        <f t="shared" si="19"/>
        <v>1.8954275676658413E-2</v>
      </c>
      <c r="B183">
        <f t="shared" si="20"/>
        <v>5.4781046317259325E-7</v>
      </c>
      <c r="C183">
        <f t="shared" si="18"/>
        <v>1.0452846326764624E-2</v>
      </c>
      <c r="D183">
        <f t="shared" si="17"/>
        <v>0.5478104631725933</v>
      </c>
    </row>
    <row r="184" spans="1:4" x14ac:dyDescent="0.3">
      <c r="A184">
        <f t="shared" si="19"/>
        <v>1.9058995431778074E-2</v>
      </c>
      <c r="B184">
        <f t="shared" si="20"/>
        <v>2.1852399266192976E-6</v>
      </c>
      <c r="C184">
        <f t="shared" si="18"/>
        <v>2.0791169081775279E-2</v>
      </c>
      <c r="D184">
        <f t="shared" si="17"/>
        <v>2.1852399266192979</v>
      </c>
    </row>
    <row r="185" spans="1:4" x14ac:dyDescent="0.3">
      <c r="A185">
        <f t="shared" si="19"/>
        <v>1.9163715186897735E-2</v>
      </c>
      <c r="B185">
        <f t="shared" si="20"/>
        <v>4.8943483704845687E-6</v>
      </c>
      <c r="C185">
        <f t="shared" si="18"/>
        <v>3.0901699437494497E-2</v>
      </c>
      <c r="D185">
        <f t="shared" si="17"/>
        <v>4.8943483704845692</v>
      </c>
    </row>
    <row r="186" spans="1:4" x14ac:dyDescent="0.3">
      <c r="A186">
        <f t="shared" si="19"/>
        <v>1.9268434942017396E-2</v>
      </c>
      <c r="B186">
        <f t="shared" si="20"/>
        <v>8.6454542357398348E-6</v>
      </c>
      <c r="C186">
        <f t="shared" si="18"/>
        <v>4.0673664307579842E-2</v>
      </c>
      <c r="D186">
        <f t="shared" si="17"/>
        <v>8.6454542357398356</v>
      </c>
    </row>
    <row r="187" spans="1:4" x14ac:dyDescent="0.3">
      <c r="A187">
        <f t="shared" si="19"/>
        <v>1.9373154697137056E-2</v>
      </c>
      <c r="B187">
        <f t="shared" si="20"/>
        <v>1.3397459621556061E-5</v>
      </c>
      <c r="C187">
        <f t="shared" si="18"/>
        <v>4.9999999999999878E-2</v>
      </c>
      <c r="D187">
        <f t="shared" si="17"/>
        <v>13.397459621556061</v>
      </c>
    </row>
    <row r="188" spans="1:4" x14ac:dyDescent="0.3">
      <c r="A188">
        <f t="shared" si="19"/>
        <v>1.9477874452256717E-2</v>
      </c>
      <c r="B188">
        <f t="shared" si="20"/>
        <v>1.9098300562505208E-5</v>
      </c>
      <c r="C188">
        <f t="shared" si="18"/>
        <v>5.8778525229247244E-2</v>
      </c>
      <c r="D188">
        <f t="shared" si="17"/>
        <v>19.098300562505209</v>
      </c>
    </row>
    <row r="189" spans="1:4" x14ac:dyDescent="0.3">
      <c r="A189">
        <f t="shared" si="19"/>
        <v>1.9582594207376378E-2</v>
      </c>
      <c r="B189">
        <f t="shared" si="20"/>
        <v>2.5685517452260564E-5</v>
      </c>
      <c r="C189">
        <f t="shared" si="18"/>
        <v>6.6913060635885813E-2</v>
      </c>
      <c r="D189">
        <f t="shared" si="17"/>
        <v>25.685517452260566</v>
      </c>
    </row>
    <row r="190" spans="1:4" x14ac:dyDescent="0.3">
      <c r="A190">
        <f t="shared" si="19"/>
        <v>1.9687313962496039E-2</v>
      </c>
      <c r="B190">
        <f t="shared" si="20"/>
        <v>3.3086939364114205E-5</v>
      </c>
      <c r="C190">
        <f t="shared" si="18"/>
        <v>7.4314482547739438E-2</v>
      </c>
      <c r="D190">
        <f t="shared" si="17"/>
        <v>33.086939364114208</v>
      </c>
    </row>
    <row r="191" spans="1:4" x14ac:dyDescent="0.3">
      <c r="A191">
        <f t="shared" si="19"/>
        <v>1.97920337176157E-2</v>
      </c>
      <c r="B191">
        <f t="shared" si="20"/>
        <v>4.1221474770752759E-5</v>
      </c>
      <c r="C191">
        <f t="shared" si="18"/>
        <v>8.0901699437494798E-2</v>
      </c>
      <c r="D191">
        <f t="shared" si="17"/>
        <v>41.221474770752764</v>
      </c>
    </row>
    <row r="192" spans="1:4" x14ac:dyDescent="0.3">
      <c r="A192">
        <f t="shared" si="19"/>
        <v>1.9896753472735361E-2</v>
      </c>
      <c r="B192">
        <f t="shared" si="20"/>
        <v>5.0000000000000443E-5</v>
      </c>
      <c r="C192">
        <f t="shared" si="18"/>
        <v>8.6602540378444115E-2</v>
      </c>
      <c r="D192">
        <f t="shared" si="17"/>
        <v>50.000000000000448</v>
      </c>
    </row>
    <row r="193" spans="1:4" x14ac:dyDescent="0.3">
      <c r="A193">
        <f t="shared" si="19"/>
        <v>2.0001473227855022E-2</v>
      </c>
      <c r="B193">
        <f t="shared" si="20"/>
        <v>5.932633569242049E-5</v>
      </c>
      <c r="C193">
        <f t="shared" si="18"/>
        <v>9.1354545764260317E-2</v>
      </c>
      <c r="D193">
        <f t="shared" si="17"/>
        <v>59.326335692420493</v>
      </c>
    </row>
    <row r="194" spans="1:4" x14ac:dyDescent="0.3">
      <c r="A194">
        <f t="shared" si="19"/>
        <v>2.0106192982974683E-2</v>
      </c>
      <c r="B194">
        <f t="shared" si="20"/>
        <v>6.9098300562505855E-5</v>
      </c>
      <c r="C194">
        <f t="shared" ref="C194:C200" si="21">E$2*F$2*H$2*SIN(H$2*A194)</f>
        <v>9.510565162951555E-2</v>
      </c>
      <c r="D194">
        <f t="shared" si="17"/>
        <v>69.098300562505855</v>
      </c>
    </row>
    <row r="195" spans="1:4" x14ac:dyDescent="0.3">
      <c r="A195">
        <f t="shared" ref="A195:A200" si="22">A194+I$2</f>
        <v>2.0210912738094344E-2</v>
      </c>
      <c r="B195">
        <f t="shared" ref="B195:B226" si="23">E$2*F$2*(1-COS(A195*H$2))</f>
        <v>7.9208830918224747E-5</v>
      </c>
      <c r="C195">
        <f t="shared" si="21"/>
        <v>9.7814760073380691E-2</v>
      </c>
      <c r="D195">
        <f t="shared" ref="D195:D200" si="24">B195/$E$2</f>
        <v>79.208830918224749</v>
      </c>
    </row>
    <row r="196" spans="1:4" x14ac:dyDescent="0.3">
      <c r="A196">
        <f t="shared" si="22"/>
        <v>2.0315632493214004E-2</v>
      </c>
      <c r="B196">
        <f t="shared" si="23"/>
        <v>8.9547153673235393E-5</v>
      </c>
      <c r="C196">
        <f t="shared" si="21"/>
        <v>9.9452189536827398E-2</v>
      </c>
      <c r="D196">
        <f t="shared" si="24"/>
        <v>89.5471536732354</v>
      </c>
    </row>
    <row r="197" spans="1:4" x14ac:dyDescent="0.3">
      <c r="A197">
        <f t="shared" si="22"/>
        <v>2.0420352248333665E-2</v>
      </c>
      <c r="B197">
        <f t="shared" si="23"/>
        <v>1.0000000000000079E-4</v>
      </c>
      <c r="C197">
        <f t="shared" si="21"/>
        <v>9.9999999999999992E-2</v>
      </c>
      <c r="D197">
        <f t="shared" si="24"/>
        <v>100.0000000000008</v>
      </c>
    </row>
    <row r="198" spans="1:4" x14ac:dyDescent="0.3">
      <c r="A198">
        <f t="shared" si="22"/>
        <v>2.0525072003453326E-2</v>
      </c>
      <c r="B198">
        <f t="shared" si="23"/>
        <v>1.1045284632676622E-4</v>
      </c>
      <c r="C198">
        <f t="shared" si="21"/>
        <v>9.9452189536827232E-2</v>
      </c>
      <c r="D198">
        <f t="shared" si="24"/>
        <v>110.45284632676622</v>
      </c>
    </row>
    <row r="199" spans="1:4" x14ac:dyDescent="0.3">
      <c r="A199">
        <f t="shared" si="22"/>
        <v>2.0629791758572987E-2</v>
      </c>
      <c r="B199">
        <f t="shared" si="23"/>
        <v>1.2079116908177717E-4</v>
      </c>
      <c r="C199">
        <f t="shared" si="21"/>
        <v>9.7814760073380289E-2</v>
      </c>
      <c r="D199">
        <f t="shared" si="24"/>
        <v>120.79116908177718</v>
      </c>
    </row>
    <row r="200" spans="1:4" x14ac:dyDescent="0.3">
      <c r="A200">
        <f t="shared" si="22"/>
        <v>2.0734511513692648E-2</v>
      </c>
      <c r="B200">
        <f t="shared" si="23"/>
        <v>1.3090169943749601E-4</v>
      </c>
      <c r="C200">
        <f t="shared" si="21"/>
        <v>9.510565162951494E-2</v>
      </c>
      <c r="D200">
        <f t="shared" si="24"/>
        <v>130.90169943749601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Kanoo</cp:lastModifiedBy>
  <dcterms:created xsi:type="dcterms:W3CDTF">2022-11-15T15:58:15Z</dcterms:created>
  <dcterms:modified xsi:type="dcterms:W3CDTF">2022-11-28T17:00:59Z</dcterms:modified>
</cp:coreProperties>
</file>