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4\"/>
    </mc:Choice>
  </mc:AlternateContent>
  <xr:revisionPtr revIDLastSave="0" documentId="13_ncr:1_{2449E3A7-589B-4122-87BA-6BC5D0A7B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ужиный маятни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2" i="1" l="1"/>
  <c r="B13" i="1" l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1" i="1"/>
  <c r="B27" i="1"/>
  <c r="B35" i="1"/>
  <c r="B43" i="1"/>
  <c r="B47" i="1"/>
  <c r="B55" i="1"/>
  <c r="B63" i="1"/>
  <c r="B71" i="1"/>
  <c r="B79" i="1"/>
  <c r="B83" i="1"/>
  <c r="B91" i="1"/>
  <c r="B99" i="1"/>
  <c r="B107" i="1"/>
  <c r="B16" i="1"/>
  <c r="B28" i="1"/>
  <c r="B36" i="1"/>
  <c r="B44" i="1"/>
  <c r="B52" i="1"/>
  <c r="B60" i="1"/>
  <c r="B68" i="1"/>
  <c r="B76" i="1"/>
  <c r="B84" i="1"/>
  <c r="B88" i="1"/>
  <c r="B96" i="1"/>
  <c r="B104" i="1"/>
  <c r="B9" i="1"/>
  <c r="B14" i="1"/>
  <c r="B18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5" i="1"/>
  <c r="B19" i="1"/>
  <c r="B23" i="1"/>
  <c r="B31" i="1"/>
  <c r="B39" i="1"/>
  <c r="B51" i="1"/>
  <c r="B59" i="1"/>
  <c r="B67" i="1"/>
  <c r="B75" i="1"/>
  <c r="B87" i="1"/>
  <c r="B95" i="1"/>
  <c r="B103" i="1"/>
  <c r="B12" i="1"/>
  <c r="B20" i="1"/>
  <c r="B24" i="1"/>
  <c r="B32" i="1"/>
  <c r="B40" i="1"/>
  <c r="B48" i="1"/>
  <c r="B56" i="1"/>
  <c r="B64" i="1"/>
  <c r="B72" i="1"/>
  <c r="B80" i="1"/>
  <c r="B92" i="1"/>
  <c r="B100" i="1"/>
  <c r="B108" i="1"/>
  <c r="B10" i="1"/>
  <c r="B8" i="1"/>
</calcChain>
</file>

<file path=xl/sharedStrings.xml><?xml version="1.0" encoding="utf-8"?>
<sst xmlns="http://schemas.openxmlformats.org/spreadsheetml/2006/main" count="10" uniqueCount="10">
  <si>
    <t>t</t>
  </si>
  <si>
    <t>исходные данные</t>
  </si>
  <si>
    <t>m</t>
  </si>
  <si>
    <t>k</t>
  </si>
  <si>
    <t>кг</t>
  </si>
  <si>
    <t>Н/м</t>
  </si>
  <si>
    <t>сторонние вычисления</t>
  </si>
  <si>
    <t>w0</t>
  </si>
  <si>
    <t>x(t)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</si>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</sst>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Зависимость</a:t>
            </a:r>
            <a:r>
              <a:rPr lang="ru-RU" baseline="0">
                <a:solidFill>
                  <a:schemeClr val="tx1"/>
                </a:solidFill>
              </a:rPr>
              <a:t> перемещения от времени (пружиный маятник)</a:t>
            </a:r>
            <a:endParaRPr lang="ru-RU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875450340998153"/>
          <c:y val="3.89426645356450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8868265777007344E-2"/>
          <c:y val="0.19327040754825034"/>
          <c:w val="0.85226718534414814"/>
          <c:h val="0.740219620835895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'пружиный маятник'!$A$8:$A$208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'пружиный маятник'!$B$8:$B$208</c:f>
              <c:numCache>
                <c:formatCode>General</c:formatCode>
                <c:ptCount val="201"/>
                <c:pt idx="0">
                  <c:v>0</c:v>
                </c:pt>
                <c:pt idx="1">
                  <c:v>4.8399478051981075E-2</c:v>
                </c:pt>
                <c:pt idx="2">
                  <c:v>0.18595669883151922</c:v>
                </c:pt>
                <c:pt idx="3">
                  <c:v>0.39095440178648949</c:v>
                </c:pt>
                <c:pt idx="4">
                  <c:v>0.63102795711097781</c:v>
                </c:pt>
                <c:pt idx="5">
                  <c:v>0.86827502915796673</c:v>
                </c:pt>
                <c:pt idx="6">
                  <c:v>1.0652395218412261</c:v>
                </c:pt>
                <c:pt idx="7">
                  <c:v>1.1908250726224709</c:v>
                </c:pt>
                <c:pt idx="8">
                  <c:v>1.2252044844091581</c:v>
                </c:pt>
                <c:pt idx="9">
                  <c:v>1.1629500040148739</c:v>
                </c:pt>
                <c:pt idx="10">
                  <c:v>1.013890245042002</c:v>
                </c:pt>
                <c:pt idx="11">
                  <c:v>0.80155846590551838</c:v>
                </c:pt>
                <c:pt idx="12">
                  <c:v>0.55947718577868943</c:v>
                </c:pt>
                <c:pt idx="13">
                  <c:v>0.3258657159089563</c:v>
                </c:pt>
                <c:pt idx="14">
                  <c:v>0.13760617073840323</c:v>
                </c:pt>
                <c:pt idx="15">
                  <c:v>2.4420592997494366E-2</c:v>
                </c:pt>
                <c:pt idx="16">
                  <c:v>4.1784966863831676E-3</c:v>
                </c:pt>
                <c:pt idx="17">
                  <c:v>8.0075663729263377E-2</c:v>
                </c:pt>
                <c:pt idx="18">
                  <c:v>0.24012960027741145</c:v>
                </c:pt>
                <c:pt idx="19">
                  <c:v>0.45907130901675453</c:v>
                </c:pt>
                <c:pt idx="20">
                  <c:v>0.70233470822890609</c:v>
                </c:pt>
                <c:pt idx="21">
                  <c:v>0.93151385605529291</c:v>
                </c:pt>
                <c:pt idx="22">
                  <c:v>1.1104264042465528</c:v>
                </c:pt>
                <c:pt idx="23">
                  <c:v>1.2108259953734279</c:v>
                </c:pt>
                <c:pt idx="24">
                  <c:v>1.2168617415837741</c:v>
                </c:pt>
                <c:pt idx="25">
                  <c:v>1.1275807312650001</c:v>
                </c:pt>
                <c:pt idx="26">
                  <c:v>0.95707847283506975</c:v>
                </c:pt>
                <c:pt idx="27">
                  <c:v>0.73227352389542721</c:v>
                </c:pt>
                <c:pt idx="28">
                  <c:v>0.48865764287112867</c:v>
                </c:pt>
                <c:pt idx="29">
                  <c:v>0.26469242074851118</c:v>
                </c:pt>
                <c:pt idx="30">
                  <c:v>9.5737041552140759E-2</c:v>
                </c:pt>
                <c:pt idx="31">
                  <c:v>8.4658446652717094E-3</c:v>
                </c:pt>
                <c:pt idx="32">
                  <c:v>1.665703315675994E-2</c:v>
                </c:pt>
                <c:pt idx="33">
                  <c:v>0.11901739847169865</c:v>
                </c:pt>
                <c:pt idx="34">
                  <c:v>0.29938648962716302</c:v>
                </c:pt>
                <c:pt idx="35">
                  <c:v>0.52928799308632202</c:v>
                </c:pt>
                <c:pt idx="36">
                  <c:v>0.77242551652855906</c:v>
                </c:pt>
                <c:pt idx="37">
                  <c:v>0.99041299111161318</c:v>
                </c:pt>
                <c:pt idx="38">
                  <c:v>1.1488349877086685</c:v>
                </c:pt>
                <c:pt idx="39">
                  <c:v>1.2226801564408267</c:v>
                </c:pt>
                <c:pt idx="40">
                  <c:v>1.2002899688732753</c:v>
                </c:pt>
                <c:pt idx="41">
                  <c:v>1.0851993433073579</c:v>
                </c:pt>
                <c:pt idx="42">
                  <c:v>0.89557855890659177</c:v>
                </c:pt>
                <c:pt idx="43">
                  <c:v>0.66136456814495959</c:v>
                </c:pt>
                <c:pt idx="44">
                  <c:v>0.41953461026513894</c:v>
                </c:pt>
                <c:pt idx="45">
                  <c:v>0.20826831825784836</c:v>
                </c:pt>
                <c:pt idx="46">
                  <c:v>6.0919994306588843E-2</c:v>
                </c:pt>
                <c:pt idx="47">
                  <c:v>7.5269886746674784E-4</c:v>
                </c:pt>
                <c:pt idx="48">
                  <c:v>3.7265524931481081E-2</c:v>
                </c:pt>
                <c:pt idx="49">
                  <c:v>0.16469390010735482</c:v>
                </c:pt>
                <c:pt idx="50">
                  <c:v>0.36291968585066403</c:v>
                </c:pt>
                <c:pt idx="51">
                  <c:v>0.6006473891822619</c:v>
                </c:pt>
                <c:pt idx="52">
                  <c:v>0.84034503290420393</c:v>
                </c:pt>
                <c:pt idx="53">
                  <c:v>1.0441696295459648</c:v>
                </c:pt>
                <c:pt idx="54">
                  <c:v>1.179941756994221</c:v>
                </c:pt>
                <c:pt idx="55">
                  <c:v>1.226225981683212</c:v>
                </c:pt>
                <c:pt idx="56">
                  <c:v>1.1757150422323475</c:v>
                </c:pt>
                <c:pt idx="57">
                  <c:v>1.036383505346089</c:v>
                </c:pt>
                <c:pt idx="58">
                  <c:v>0.83022875707614263</c:v>
                </c:pt>
                <c:pt idx="59">
                  <c:v>0.58979809924253446</c:v>
                </c:pt>
                <c:pt idx="60">
                  <c:v>0.35305024612650376</c:v>
                </c:pt>
                <c:pt idx="61">
                  <c:v>0.1573624781219089</c:v>
                </c:pt>
                <c:pt idx="62">
                  <c:v>3.3629591012902603E-2</c:v>
                </c:pt>
                <c:pt idx="63">
                  <c:v>1.3862870345631888E-3</c:v>
                </c:pt>
                <c:pt idx="64">
                  <c:v>6.5723074919115984E-2</c:v>
                </c:pt>
                <c:pt idx="65">
                  <c:v>0.21648259049725238</c:v>
                </c:pt>
                <c:pt idx="66">
                  <c:v>0.4298632211602833</c:v>
                </c:pt>
                <c:pt idx="67">
                  <c:v>0.67217685714105702</c:v>
                </c:pt>
                <c:pt idx="68">
                  <c:v>0.90516750331183116</c:v>
                </c:pt>
                <c:pt idx="69">
                  <c:v>1.0920510596419171</c:v>
                </c:pt>
                <c:pt idx="70">
                  <c:v>1.2033227217835056</c:v>
                </c:pt>
                <c:pt idx="71">
                  <c:v>1.2214151409263914</c:v>
                </c:pt>
                <c:pt idx="72">
                  <c:v>1.1434719219041281</c:v>
                </c:pt>
                <c:pt idx="73">
                  <c:v>0.98179858518438301</c:v>
                </c:pt>
                <c:pt idx="74">
                  <c:v>0.76191979576094049</c:v>
                </c:pt>
                <c:pt idx="75">
                  <c:v>0.51854957978767513</c:v>
                </c:pt>
                <c:pt idx="76">
                  <c:v>0.29011074314105029</c:v>
                </c:pt>
                <c:pt idx="77">
                  <c:v>0.11266875521310846</c:v>
                </c:pt>
                <c:pt idx="78">
                  <c:v>1.4237804302219959E-2</c:v>
                </c:pt>
                <c:pt idx="79">
                  <c:v>1.0357973256896023E-2</c:v>
                </c:pt>
                <c:pt idx="80">
                  <c:v>0.10164180208944591</c:v>
                </c:pt>
                <c:pt idx="81">
                  <c:v>0.27367758137656467</c:v>
                </c:pt>
                <c:pt idx="82">
                  <c:v>0.49930464429252425</c:v>
                </c:pt>
                <c:pt idx="83">
                  <c:v>0.74290143869206027</c:v>
                </c:pt>
                <c:pt idx="84">
                  <c:v>0.96600938694719862</c:v>
                </c:pt>
                <c:pt idx="85">
                  <c:v>1.1334046497273111</c:v>
                </c:pt>
                <c:pt idx="86">
                  <c:v>1.218659195727422</c:v>
                </c:pt>
                <c:pt idx="87">
                  <c:v>1.2083132067115634</c:v>
                </c:pt>
                <c:pt idx="88">
                  <c:v>1.1040000868576705</c:v>
                </c:pt>
                <c:pt idx="89">
                  <c:v>0.92218858415319527</c:v>
                </c:pt>
                <c:pt idx="90">
                  <c:v>0.69158273720280261</c:v>
                </c:pt>
                <c:pt idx="91">
                  <c:v>0.44859013867726577</c:v>
                </c:pt>
                <c:pt idx="92">
                  <c:v>0.23157397696110826</c:v>
                </c:pt>
                <c:pt idx="93">
                  <c:v>7.47963322366932E-2</c:v>
                </c:pt>
                <c:pt idx="94">
                  <c:v>3.0089473782540202E-3</c:v>
                </c:pt>
                <c:pt idx="95">
                  <c:v>2.7545471993502321E-2</c:v>
                </c:pt>
                <c:pt idx="96">
                  <c:v>0.14453212835493534</c:v>
                </c:pt>
                <c:pt idx="97">
                  <c:v>0.33549929572635789</c:v>
                </c:pt>
                <c:pt idx="98">
                  <c:v>0.5702974573670051</c:v>
                </c:pt>
                <c:pt idx="99">
                  <c:v>0.81185714629714378</c:v>
                </c:pt>
                <c:pt idx="100">
                  <c:v>1.0220413990505433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A-4EDD-BB40-4A36EFDA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69856"/>
        <c:axId val="393177344"/>
      </c:scatterChart>
      <c:valAx>
        <c:axId val="393169856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t,</a:t>
                </a:r>
                <a:r>
                  <a:rPr lang="ru-RU" sz="1100">
                    <a:solidFill>
                      <a:sysClr val="windowText" lastClr="000000"/>
                    </a:solidFill>
                  </a:rPr>
                  <a:t>с</a:t>
                </a:r>
              </a:p>
            </c:rich>
          </c:tx>
          <c:layout>
            <c:manualLayout>
              <c:xMode val="edge"/>
              <c:yMode val="edge"/>
              <c:x val="0.91118522675808045"/>
              <c:y val="0.868266593468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177344"/>
        <c:crosses val="autoZero"/>
        <c:crossBetween val="midCat"/>
      </c:valAx>
      <c:valAx>
        <c:axId val="3931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x,</a:t>
                </a:r>
                <a:r>
                  <a:rPr lang="ru-RU" sz="1100">
                    <a:solidFill>
                      <a:sysClr val="windowText" lastClr="000000"/>
                    </a:solidFill>
                  </a:rPr>
                  <a:t>м</a:t>
                </a:r>
              </a:p>
            </c:rich>
          </c:tx>
          <c:layout>
            <c:manualLayout>
              <c:xMode val="edge"/>
              <c:yMode val="edge"/>
              <c:x val="0.10874316560455961"/>
              <c:y val="0.14730864454472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1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282223</xdr:colOff>
      <xdr:row>5</xdr:row>
      <xdr:rowOff>14814</xdr:rowOff>
    </xdr:from>
    <xdr:to>
      <xdr:col>12</xdr:col>
      <xdr:colOff>75260</xdr:colOff>
      <xdr:row>25</xdr:row>
      <xdr:rowOff>56444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E4CAE5-AD6C-511F-D38F-F91E52E1E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zoomScale="90" zoomScaleNormal="90" workbookViewId="0">
      <selection activeCell="O22" sqref="O22"/>
    </sheetView>
  </sheetViews>
  <sheetFormatPr defaultRowHeight="14.4" x14ac:dyDescent="0.3"/>
  <cols>
    <col min="1" max="1" width="9.109375" style="1"/>
    <col min="2" max="2" width="13.33203125" style="1" customWidth="1"/>
    <col min="3" max="3" width="9.109375" style="1"/>
    <col min="5" max="5" width="9.109375" style="1"/>
    <col min="6" max="6" width="8.33203125" style="1" customWidth="1"/>
    <col min="7" max="7" width="9.109375" style="1"/>
  </cols>
  <sheetData>
    <row r="1" spans="1:7" x14ac:dyDescent="0.3">
      <c r="A1" s="3" t="s">
        <v>1</v>
      </c>
      <c r="B1" s="3"/>
      <c r="C1" s="3"/>
      <c r="E1" s="3" t="s">
        <v>6</v>
      </c>
      <c r="F1" s="3"/>
      <c r="G1" s="3"/>
    </row>
    <row r="2" spans="1:7" x14ac:dyDescent="0.3">
      <c r="A2" s="2" t="s">
        <v>2</v>
      </c>
      <c r="B2" s="2">
        <v>0.5</v>
      </c>
      <c r="C2" s="2" t="s">
        <v>4</v>
      </c>
      <c r="E2" s="2" t="s">
        <v>7</v>
      </c>
      <c r="F2" s="2">
        <f>SQRT(B3/B2)</f>
        <v>4</v>
      </c>
      <c r="G2" s="2"/>
    </row>
    <row r="3" spans="1:7" x14ac:dyDescent="0.3">
      <c r="A3" s="2" t="s">
        <v>3</v>
      </c>
      <c r="B3" s="2">
        <v>8</v>
      </c>
      <c r="C3" s="2" t="s">
        <v>5</v>
      </c>
    </row>
    <row r="4" spans="1:7" x14ac:dyDescent="0.3">
      <c r="A4" s="2" t="s">
        <v>9</v>
      </c>
      <c r="B4" s="2">
        <f>9.81</f>
        <v>9.81</v>
      </c>
      <c r="C4" s="2"/>
    </row>
    <row r="7" spans="1:7" x14ac:dyDescent="0.3">
      <c r="A7" s="2" t="s">
        <v>0</v>
      </c>
      <c r="B7" s="2" t="s">
        <v>8</v>
      </c>
    </row>
    <row r="8" spans="1:7" x14ac:dyDescent="0.3">
      <c r="A8" s="2">
        <v>0</v>
      </c>
      <c r="B8" s="2">
        <f t="shared" ref="B8:B39" si="0">($B$2*$B$4)/$B$3*(1-COS($F$2*A8))</f>
        <v>0</v>
      </c>
    </row>
    <row r="9" spans="1:7" x14ac:dyDescent="0.3">
      <c r="A9" s="2">
        <v>0.1</v>
      </c>
      <c r="B9" s="2">
        <f t="shared" si="0"/>
        <v>4.8399478051981075E-2</v>
      </c>
    </row>
    <row r="10" spans="1:7" x14ac:dyDescent="0.3">
      <c r="A10" s="2">
        <v>0.2</v>
      </c>
      <c r="B10" s="2">
        <f t="shared" si="0"/>
        <v>0.18595669883151922</v>
      </c>
    </row>
    <row r="11" spans="1:7" x14ac:dyDescent="0.3">
      <c r="A11" s="2">
        <v>0.3</v>
      </c>
      <c r="B11" s="2">
        <f t="shared" si="0"/>
        <v>0.39095440178648949</v>
      </c>
    </row>
    <row r="12" spans="1:7" x14ac:dyDescent="0.3">
      <c r="A12" s="2">
        <v>0.4</v>
      </c>
      <c r="B12" s="2">
        <f t="shared" si="0"/>
        <v>0.63102795711097781</v>
      </c>
    </row>
    <row r="13" spans="1:7" x14ac:dyDescent="0.3">
      <c r="A13" s="2">
        <v>0.5</v>
      </c>
      <c r="B13" s="2">
        <f t="shared" si="0"/>
        <v>0.86827502915796673</v>
      </c>
    </row>
    <row r="14" spans="1:7" x14ac:dyDescent="0.3">
      <c r="A14" s="2">
        <v>0.6</v>
      </c>
      <c r="B14" s="2">
        <f t="shared" si="0"/>
        <v>1.0652395218412261</v>
      </c>
    </row>
    <row r="15" spans="1:7" x14ac:dyDescent="0.3">
      <c r="A15" s="2">
        <v>0.7</v>
      </c>
      <c r="B15" s="2">
        <f t="shared" si="0"/>
        <v>1.1908250726224709</v>
      </c>
    </row>
    <row r="16" spans="1:7" x14ac:dyDescent="0.3">
      <c r="A16" s="2">
        <v>0.8</v>
      </c>
      <c r="B16" s="2">
        <f t="shared" si="0"/>
        <v>1.2252044844091581</v>
      </c>
    </row>
    <row r="17" spans="1:2" x14ac:dyDescent="0.3">
      <c r="A17" s="2">
        <v>0.9</v>
      </c>
      <c r="B17" s="2">
        <f t="shared" si="0"/>
        <v>1.1629500040148739</v>
      </c>
    </row>
    <row r="18" spans="1:2" x14ac:dyDescent="0.3">
      <c r="A18" s="2">
        <v>1</v>
      </c>
      <c r="B18" s="2">
        <f t="shared" si="0"/>
        <v>1.013890245042002</v>
      </c>
    </row>
    <row r="19" spans="1:2" x14ac:dyDescent="0.3">
      <c r="A19" s="2">
        <v>1.1000000000000001</v>
      </c>
      <c r="B19" s="2">
        <f t="shared" si="0"/>
        <v>0.80155846590551838</v>
      </c>
    </row>
    <row r="20" spans="1:2" x14ac:dyDescent="0.3">
      <c r="A20" s="2">
        <v>1.2</v>
      </c>
      <c r="B20" s="2">
        <f t="shared" si="0"/>
        <v>0.55947718577868943</v>
      </c>
    </row>
    <row r="21" spans="1:2" x14ac:dyDescent="0.3">
      <c r="A21" s="2">
        <v>1.3</v>
      </c>
      <c r="B21" s="2">
        <f t="shared" si="0"/>
        <v>0.3258657159089563</v>
      </c>
    </row>
    <row r="22" spans="1:2" x14ac:dyDescent="0.3">
      <c r="A22" s="2">
        <v>1.4</v>
      </c>
      <c r="B22" s="2">
        <f t="shared" si="0"/>
        <v>0.13760617073840323</v>
      </c>
    </row>
    <row r="23" spans="1:2" x14ac:dyDescent="0.3">
      <c r="A23" s="2">
        <v>1.5</v>
      </c>
      <c r="B23" s="2">
        <f t="shared" si="0"/>
        <v>2.4420592997494366E-2</v>
      </c>
    </row>
    <row r="24" spans="1:2" x14ac:dyDescent="0.3">
      <c r="A24" s="2">
        <v>1.6</v>
      </c>
      <c r="B24" s="2">
        <f t="shared" si="0"/>
        <v>4.1784966863831676E-3</v>
      </c>
    </row>
    <row r="25" spans="1:2" x14ac:dyDescent="0.3">
      <c r="A25" s="2">
        <v>1.7</v>
      </c>
      <c r="B25" s="2">
        <f t="shared" si="0"/>
        <v>8.0075663729263377E-2</v>
      </c>
    </row>
    <row r="26" spans="1:2" x14ac:dyDescent="0.3">
      <c r="A26" s="2">
        <v>1.8</v>
      </c>
      <c r="B26" s="2">
        <f t="shared" si="0"/>
        <v>0.24012960027741145</v>
      </c>
    </row>
    <row r="27" spans="1:2" x14ac:dyDescent="0.3">
      <c r="A27" s="2">
        <v>1.9</v>
      </c>
      <c r="B27" s="2">
        <f t="shared" si="0"/>
        <v>0.45907130901675453</v>
      </c>
    </row>
    <row r="28" spans="1:2" x14ac:dyDescent="0.3">
      <c r="A28" s="2">
        <v>2</v>
      </c>
      <c r="B28" s="2">
        <f t="shared" si="0"/>
        <v>0.70233470822890609</v>
      </c>
    </row>
    <row r="29" spans="1:2" x14ac:dyDescent="0.3">
      <c r="A29" s="2">
        <v>2.1</v>
      </c>
      <c r="B29" s="2">
        <f t="shared" si="0"/>
        <v>0.93151385605529291</v>
      </c>
    </row>
    <row r="30" spans="1:2" x14ac:dyDescent="0.3">
      <c r="A30" s="2">
        <v>2.2000000000000002</v>
      </c>
      <c r="B30" s="2">
        <f t="shared" si="0"/>
        <v>1.1104264042465528</v>
      </c>
    </row>
    <row r="31" spans="1:2" x14ac:dyDescent="0.3">
      <c r="A31" s="2">
        <v>2.2999999999999998</v>
      </c>
      <c r="B31" s="2">
        <f t="shared" si="0"/>
        <v>1.2108259953734279</v>
      </c>
    </row>
    <row r="32" spans="1:2" x14ac:dyDescent="0.3">
      <c r="A32" s="2">
        <v>2.4</v>
      </c>
      <c r="B32" s="2">
        <f t="shared" si="0"/>
        <v>1.2168617415837741</v>
      </c>
    </row>
    <row r="33" spans="1:2" x14ac:dyDescent="0.3">
      <c r="A33" s="2">
        <v>2.5</v>
      </c>
      <c r="B33" s="2">
        <f t="shared" si="0"/>
        <v>1.1275807312650001</v>
      </c>
    </row>
    <row r="34" spans="1:2" x14ac:dyDescent="0.3">
      <c r="A34" s="2">
        <v>2.6</v>
      </c>
      <c r="B34" s="2">
        <f t="shared" si="0"/>
        <v>0.95707847283506975</v>
      </c>
    </row>
    <row r="35" spans="1:2" x14ac:dyDescent="0.3">
      <c r="A35" s="2">
        <v>2.7</v>
      </c>
      <c r="B35" s="2">
        <f t="shared" si="0"/>
        <v>0.73227352389542721</v>
      </c>
    </row>
    <row r="36" spans="1:2" x14ac:dyDescent="0.3">
      <c r="A36" s="2">
        <v>2.8</v>
      </c>
      <c r="B36" s="2">
        <f t="shared" si="0"/>
        <v>0.48865764287112867</v>
      </c>
    </row>
    <row r="37" spans="1:2" x14ac:dyDescent="0.3">
      <c r="A37" s="2">
        <v>2.9</v>
      </c>
      <c r="B37" s="2">
        <f t="shared" si="0"/>
        <v>0.26469242074851118</v>
      </c>
    </row>
    <row r="38" spans="1:2" x14ac:dyDescent="0.3">
      <c r="A38" s="2">
        <v>3</v>
      </c>
      <c r="B38" s="2">
        <f t="shared" si="0"/>
        <v>9.5737041552140759E-2</v>
      </c>
    </row>
    <row r="39" spans="1:2" x14ac:dyDescent="0.3">
      <c r="A39" s="2">
        <v>3.1</v>
      </c>
      <c r="B39" s="2">
        <f t="shared" si="0"/>
        <v>8.4658446652717094E-3</v>
      </c>
    </row>
    <row r="40" spans="1:2" x14ac:dyDescent="0.3">
      <c r="A40" s="2">
        <v>3.2</v>
      </c>
      <c r="B40" s="2">
        <f t="shared" ref="B40:B71" si="1">($B$2*$B$4)/$B$3*(1-COS($F$2*A40))</f>
        <v>1.665703315675994E-2</v>
      </c>
    </row>
    <row r="41" spans="1:2" x14ac:dyDescent="0.3">
      <c r="A41" s="2">
        <v>3.3</v>
      </c>
      <c r="B41" s="2">
        <f t="shared" si="1"/>
        <v>0.11901739847169865</v>
      </c>
    </row>
    <row r="42" spans="1:2" x14ac:dyDescent="0.3">
      <c r="A42" s="2">
        <v>3.4</v>
      </c>
      <c r="B42" s="2">
        <f t="shared" si="1"/>
        <v>0.29938648962716302</v>
      </c>
    </row>
    <row r="43" spans="1:2" x14ac:dyDescent="0.3">
      <c r="A43" s="2">
        <v>3.5</v>
      </c>
      <c r="B43" s="2">
        <f t="shared" si="1"/>
        <v>0.52928799308632202</v>
      </c>
    </row>
    <row r="44" spans="1:2" x14ac:dyDescent="0.3">
      <c r="A44" s="2">
        <v>3.6</v>
      </c>
      <c r="B44" s="2">
        <f t="shared" si="1"/>
        <v>0.77242551652855906</v>
      </c>
    </row>
    <row r="45" spans="1:2" x14ac:dyDescent="0.3">
      <c r="A45" s="2">
        <v>3.7</v>
      </c>
      <c r="B45" s="2">
        <f t="shared" si="1"/>
        <v>0.99041299111161318</v>
      </c>
    </row>
    <row r="46" spans="1:2" x14ac:dyDescent="0.3">
      <c r="A46" s="2">
        <v>3.8</v>
      </c>
      <c r="B46" s="2">
        <f t="shared" si="1"/>
        <v>1.1488349877086685</v>
      </c>
    </row>
    <row r="47" spans="1:2" x14ac:dyDescent="0.3">
      <c r="A47" s="2">
        <v>3.9</v>
      </c>
      <c r="B47" s="2">
        <f t="shared" si="1"/>
        <v>1.2226801564408267</v>
      </c>
    </row>
    <row r="48" spans="1:2" x14ac:dyDescent="0.3">
      <c r="A48" s="2">
        <v>4</v>
      </c>
      <c r="B48" s="2">
        <f t="shared" si="1"/>
        <v>1.2002899688732753</v>
      </c>
    </row>
    <row r="49" spans="1:2" x14ac:dyDescent="0.3">
      <c r="A49" s="2">
        <v>4.0999999999999996</v>
      </c>
      <c r="B49" s="2">
        <f t="shared" si="1"/>
        <v>1.0851993433073579</v>
      </c>
    </row>
    <row r="50" spans="1:2" x14ac:dyDescent="0.3">
      <c r="A50" s="2">
        <v>4.2</v>
      </c>
      <c r="B50" s="2">
        <f t="shared" si="1"/>
        <v>0.89557855890659177</v>
      </c>
    </row>
    <row r="51" spans="1:2" x14ac:dyDescent="0.3">
      <c r="A51" s="2">
        <v>4.3</v>
      </c>
      <c r="B51" s="2">
        <f t="shared" si="1"/>
        <v>0.66136456814495959</v>
      </c>
    </row>
    <row r="52" spans="1:2" x14ac:dyDescent="0.3">
      <c r="A52" s="2">
        <v>4.4000000000000004</v>
      </c>
      <c r="B52" s="2">
        <f t="shared" si="1"/>
        <v>0.41953461026513894</v>
      </c>
    </row>
    <row r="53" spans="1:2" x14ac:dyDescent="0.3">
      <c r="A53" s="2">
        <v>4.5</v>
      </c>
      <c r="B53" s="2">
        <f t="shared" si="1"/>
        <v>0.20826831825784836</v>
      </c>
    </row>
    <row r="54" spans="1:2" x14ac:dyDescent="0.3">
      <c r="A54" s="2">
        <v>4.5999999999999996</v>
      </c>
      <c r="B54" s="2">
        <f t="shared" si="1"/>
        <v>6.0919994306588843E-2</v>
      </c>
    </row>
    <row r="55" spans="1:2" x14ac:dyDescent="0.3">
      <c r="A55" s="2">
        <v>4.7</v>
      </c>
      <c r="B55" s="2">
        <f t="shared" si="1"/>
        <v>7.5269886746674784E-4</v>
      </c>
    </row>
    <row r="56" spans="1:2" x14ac:dyDescent="0.3">
      <c r="A56" s="2">
        <v>4.8</v>
      </c>
      <c r="B56" s="2">
        <f t="shared" si="1"/>
        <v>3.7265524931481081E-2</v>
      </c>
    </row>
    <row r="57" spans="1:2" x14ac:dyDescent="0.3">
      <c r="A57" s="2">
        <v>4.9000000000000004</v>
      </c>
      <c r="B57" s="2">
        <f t="shared" si="1"/>
        <v>0.16469390010735482</v>
      </c>
    </row>
    <row r="58" spans="1:2" x14ac:dyDescent="0.3">
      <c r="A58" s="2">
        <v>5</v>
      </c>
      <c r="B58" s="2">
        <f t="shared" si="1"/>
        <v>0.36291968585066403</v>
      </c>
    </row>
    <row r="59" spans="1:2" x14ac:dyDescent="0.3">
      <c r="A59" s="2">
        <v>5.0999999999999996</v>
      </c>
      <c r="B59" s="2">
        <f t="shared" si="1"/>
        <v>0.6006473891822619</v>
      </c>
    </row>
    <row r="60" spans="1:2" x14ac:dyDescent="0.3">
      <c r="A60" s="2">
        <v>5.2</v>
      </c>
      <c r="B60" s="2">
        <f t="shared" si="1"/>
        <v>0.84034503290420393</v>
      </c>
    </row>
    <row r="61" spans="1:2" x14ac:dyDescent="0.3">
      <c r="A61" s="2">
        <v>5.3</v>
      </c>
      <c r="B61" s="2">
        <f t="shared" si="1"/>
        <v>1.0441696295459648</v>
      </c>
    </row>
    <row r="62" spans="1:2" x14ac:dyDescent="0.3">
      <c r="A62" s="2">
        <v>5.4</v>
      </c>
      <c r="B62" s="2">
        <f t="shared" si="1"/>
        <v>1.179941756994221</v>
      </c>
    </row>
    <row r="63" spans="1:2" x14ac:dyDescent="0.3">
      <c r="A63" s="2">
        <v>5.5</v>
      </c>
      <c r="B63" s="2">
        <f t="shared" si="1"/>
        <v>1.226225981683212</v>
      </c>
    </row>
    <row r="64" spans="1:2" x14ac:dyDescent="0.3">
      <c r="A64" s="2">
        <v>5.6</v>
      </c>
      <c r="B64" s="2">
        <f t="shared" si="1"/>
        <v>1.1757150422323475</v>
      </c>
    </row>
    <row r="65" spans="1:2" x14ac:dyDescent="0.3">
      <c r="A65" s="2">
        <v>5.7</v>
      </c>
      <c r="B65" s="2">
        <f t="shared" si="1"/>
        <v>1.036383505346089</v>
      </c>
    </row>
    <row r="66" spans="1:2" x14ac:dyDescent="0.3">
      <c r="A66" s="2">
        <v>5.8</v>
      </c>
      <c r="B66" s="2">
        <f t="shared" si="1"/>
        <v>0.83022875707614263</v>
      </c>
    </row>
    <row r="67" spans="1:2" x14ac:dyDescent="0.3">
      <c r="A67" s="2">
        <v>5.9</v>
      </c>
      <c r="B67" s="2">
        <f t="shared" si="1"/>
        <v>0.58979809924253446</v>
      </c>
    </row>
    <row r="68" spans="1:2" x14ac:dyDescent="0.3">
      <c r="A68" s="2">
        <v>6</v>
      </c>
      <c r="B68" s="2">
        <f t="shared" si="1"/>
        <v>0.35305024612650376</v>
      </c>
    </row>
    <row r="69" spans="1:2" x14ac:dyDescent="0.3">
      <c r="A69" s="2">
        <v>6.1</v>
      </c>
      <c r="B69" s="2">
        <f t="shared" si="1"/>
        <v>0.1573624781219089</v>
      </c>
    </row>
    <row r="70" spans="1:2" x14ac:dyDescent="0.3">
      <c r="A70" s="2">
        <v>6.2</v>
      </c>
      <c r="B70" s="2">
        <f t="shared" si="1"/>
        <v>3.3629591012902603E-2</v>
      </c>
    </row>
    <row r="71" spans="1:2" x14ac:dyDescent="0.3">
      <c r="A71" s="2">
        <v>6.3</v>
      </c>
      <c r="B71" s="2">
        <f t="shared" si="1"/>
        <v>1.3862870345631888E-3</v>
      </c>
    </row>
    <row r="72" spans="1:2" x14ac:dyDescent="0.3">
      <c r="A72" s="2">
        <v>6.4</v>
      </c>
      <c r="B72" s="2">
        <f t="shared" ref="B72:B103" si="2">($B$2*$B$4)/$B$3*(1-COS($F$2*A72))</f>
        <v>6.5723074919115984E-2</v>
      </c>
    </row>
    <row r="73" spans="1:2" x14ac:dyDescent="0.3">
      <c r="A73" s="2">
        <v>6.5</v>
      </c>
      <c r="B73" s="2">
        <f t="shared" si="2"/>
        <v>0.21648259049725238</v>
      </c>
    </row>
    <row r="74" spans="1:2" x14ac:dyDescent="0.3">
      <c r="A74" s="2">
        <v>6.6</v>
      </c>
      <c r="B74" s="2">
        <f t="shared" si="2"/>
        <v>0.4298632211602833</v>
      </c>
    </row>
    <row r="75" spans="1:2" x14ac:dyDescent="0.3">
      <c r="A75" s="2">
        <v>6.7</v>
      </c>
      <c r="B75" s="2">
        <f t="shared" si="2"/>
        <v>0.67217685714105702</v>
      </c>
    </row>
    <row r="76" spans="1:2" x14ac:dyDescent="0.3">
      <c r="A76" s="2">
        <v>6.8</v>
      </c>
      <c r="B76" s="2">
        <f t="shared" si="2"/>
        <v>0.90516750331183116</v>
      </c>
    </row>
    <row r="77" spans="1:2" x14ac:dyDescent="0.3">
      <c r="A77" s="2">
        <v>6.9</v>
      </c>
      <c r="B77" s="2">
        <f t="shared" si="2"/>
        <v>1.0920510596419171</v>
      </c>
    </row>
    <row r="78" spans="1:2" x14ac:dyDescent="0.3">
      <c r="A78" s="2">
        <v>7</v>
      </c>
      <c r="B78" s="2">
        <f t="shared" si="2"/>
        <v>1.2033227217835056</v>
      </c>
    </row>
    <row r="79" spans="1:2" x14ac:dyDescent="0.3">
      <c r="A79" s="2">
        <v>7.1</v>
      </c>
      <c r="B79" s="2">
        <f t="shared" si="2"/>
        <v>1.2214151409263914</v>
      </c>
    </row>
    <row r="80" spans="1:2" x14ac:dyDescent="0.3">
      <c r="A80" s="2">
        <v>7.2</v>
      </c>
      <c r="B80" s="2">
        <f t="shared" si="2"/>
        <v>1.1434719219041281</v>
      </c>
    </row>
    <row r="81" spans="1:2" x14ac:dyDescent="0.3">
      <c r="A81" s="2">
        <v>7.3</v>
      </c>
      <c r="B81" s="2">
        <f t="shared" si="2"/>
        <v>0.98179858518438301</v>
      </c>
    </row>
    <row r="82" spans="1:2" x14ac:dyDescent="0.3">
      <c r="A82" s="2">
        <v>7.4</v>
      </c>
      <c r="B82" s="2">
        <f t="shared" si="2"/>
        <v>0.76191979576094049</v>
      </c>
    </row>
    <row r="83" spans="1:2" x14ac:dyDescent="0.3">
      <c r="A83" s="2">
        <v>7.5</v>
      </c>
      <c r="B83" s="2">
        <f t="shared" si="2"/>
        <v>0.51854957978767513</v>
      </c>
    </row>
    <row r="84" spans="1:2" x14ac:dyDescent="0.3">
      <c r="A84" s="2">
        <v>7.6</v>
      </c>
      <c r="B84" s="2">
        <f t="shared" si="2"/>
        <v>0.29011074314105029</v>
      </c>
    </row>
    <row r="85" spans="1:2" x14ac:dyDescent="0.3">
      <c r="A85" s="2">
        <v>7.7</v>
      </c>
      <c r="B85" s="2">
        <f t="shared" si="2"/>
        <v>0.11266875521310846</v>
      </c>
    </row>
    <row r="86" spans="1:2" x14ac:dyDescent="0.3">
      <c r="A86" s="2">
        <v>7.8</v>
      </c>
      <c r="B86" s="2">
        <f t="shared" si="2"/>
        <v>1.4237804302219959E-2</v>
      </c>
    </row>
    <row r="87" spans="1:2" x14ac:dyDescent="0.3">
      <c r="A87" s="2">
        <v>7.9</v>
      </c>
      <c r="B87" s="2">
        <f t="shared" si="2"/>
        <v>1.0357973256896023E-2</v>
      </c>
    </row>
    <row r="88" spans="1:2" x14ac:dyDescent="0.3">
      <c r="A88" s="2">
        <v>8</v>
      </c>
      <c r="B88" s="2">
        <f t="shared" si="2"/>
        <v>0.10164180208944591</v>
      </c>
    </row>
    <row r="89" spans="1:2" x14ac:dyDescent="0.3">
      <c r="A89" s="2">
        <v>8.1</v>
      </c>
      <c r="B89" s="2">
        <f t="shared" si="2"/>
        <v>0.27367758137656467</v>
      </c>
    </row>
    <row r="90" spans="1:2" x14ac:dyDescent="0.3">
      <c r="A90" s="2">
        <v>8.1999999999999993</v>
      </c>
      <c r="B90" s="2">
        <f t="shared" si="2"/>
        <v>0.49930464429252425</v>
      </c>
    </row>
    <row r="91" spans="1:2" x14ac:dyDescent="0.3">
      <c r="A91" s="2">
        <v>8.3000000000000007</v>
      </c>
      <c r="B91" s="2">
        <f t="shared" si="2"/>
        <v>0.74290143869206027</v>
      </c>
    </row>
    <row r="92" spans="1:2" x14ac:dyDescent="0.3">
      <c r="A92" s="2">
        <v>8.4</v>
      </c>
      <c r="B92" s="2">
        <f t="shared" si="2"/>
        <v>0.96600938694719862</v>
      </c>
    </row>
    <row r="93" spans="1:2" x14ac:dyDescent="0.3">
      <c r="A93" s="2">
        <v>8.5</v>
      </c>
      <c r="B93" s="2">
        <f t="shared" si="2"/>
        <v>1.1334046497273111</v>
      </c>
    </row>
    <row r="94" spans="1:2" x14ac:dyDescent="0.3">
      <c r="A94" s="2">
        <v>8.6</v>
      </c>
      <c r="B94" s="2">
        <f t="shared" si="2"/>
        <v>1.218659195727422</v>
      </c>
    </row>
    <row r="95" spans="1:2" x14ac:dyDescent="0.3">
      <c r="A95" s="2">
        <v>8.6999999999999993</v>
      </c>
      <c r="B95" s="2">
        <f t="shared" si="2"/>
        <v>1.2083132067115634</v>
      </c>
    </row>
    <row r="96" spans="1:2" x14ac:dyDescent="0.3">
      <c r="A96" s="2">
        <v>8.8000000000000007</v>
      </c>
      <c r="B96" s="2">
        <f t="shared" si="2"/>
        <v>1.1040000868576705</v>
      </c>
    </row>
    <row r="97" spans="1:2" x14ac:dyDescent="0.3">
      <c r="A97" s="2">
        <v>8.9</v>
      </c>
      <c r="B97" s="2">
        <f t="shared" si="2"/>
        <v>0.92218858415319527</v>
      </c>
    </row>
    <row r="98" spans="1:2" x14ac:dyDescent="0.3">
      <c r="A98" s="2">
        <v>9</v>
      </c>
      <c r="B98" s="2">
        <f t="shared" si="2"/>
        <v>0.69158273720280261</v>
      </c>
    </row>
    <row r="99" spans="1:2" x14ac:dyDescent="0.3">
      <c r="A99" s="2">
        <v>9.1</v>
      </c>
      <c r="B99" s="2">
        <f t="shared" si="2"/>
        <v>0.44859013867726577</v>
      </c>
    </row>
    <row r="100" spans="1:2" x14ac:dyDescent="0.3">
      <c r="A100" s="2">
        <v>9.1999999999999993</v>
      </c>
      <c r="B100" s="2">
        <f t="shared" si="2"/>
        <v>0.23157397696110826</v>
      </c>
    </row>
    <row r="101" spans="1:2" x14ac:dyDescent="0.3">
      <c r="A101" s="2">
        <v>9.3000000000000007</v>
      </c>
      <c r="B101" s="2">
        <f t="shared" si="2"/>
        <v>7.47963322366932E-2</v>
      </c>
    </row>
    <row r="102" spans="1:2" x14ac:dyDescent="0.3">
      <c r="A102" s="2">
        <v>9.4</v>
      </c>
      <c r="B102" s="2">
        <f t="shared" si="2"/>
        <v>3.0089473782540202E-3</v>
      </c>
    </row>
    <row r="103" spans="1:2" x14ac:dyDescent="0.3">
      <c r="A103" s="2">
        <v>9.5</v>
      </c>
      <c r="B103" s="2">
        <f t="shared" si="2"/>
        <v>2.7545471993502321E-2</v>
      </c>
    </row>
    <row r="104" spans="1:2" x14ac:dyDescent="0.3">
      <c r="A104" s="2">
        <v>9.6</v>
      </c>
      <c r="B104" s="2">
        <f t="shared" ref="B104:B108" si="3">($B$2*$B$4)/$B$3*(1-COS($F$2*A104))</f>
        <v>0.14453212835493534</v>
      </c>
    </row>
    <row r="105" spans="1:2" x14ac:dyDescent="0.3">
      <c r="A105" s="2">
        <v>9.6999999999999993</v>
      </c>
      <c r="B105" s="2">
        <f t="shared" si="3"/>
        <v>0.33549929572635789</v>
      </c>
    </row>
    <row r="106" spans="1:2" x14ac:dyDescent="0.3">
      <c r="A106" s="2">
        <v>9.8000000000000007</v>
      </c>
      <c r="B106" s="2">
        <f t="shared" si="3"/>
        <v>0.5702974573670051</v>
      </c>
    </row>
    <row r="107" spans="1:2" x14ac:dyDescent="0.3">
      <c r="A107" s="2">
        <v>9.9</v>
      </c>
      <c r="B107" s="2">
        <f t="shared" si="3"/>
        <v>0.81185714629714378</v>
      </c>
    </row>
    <row r="108" spans="1:2" x14ac:dyDescent="0.3">
      <c r="A108" s="2">
        <v>10</v>
      </c>
      <c r="B108" s="2">
        <f t="shared" si="3"/>
        <v>1.0220413990505433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пружиный маятник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Kanoo</cp:lastModifiedBy>
  <dcterms:created xsi:type="dcterms:W3CDTF">2015-06-05T18:19:34Z</dcterms:created>
  <dcterms:modified xsi:type="dcterms:W3CDTF">2022-11-29T08:52:35Z</dcterms:modified>
</cp:coreProperties>
</file>