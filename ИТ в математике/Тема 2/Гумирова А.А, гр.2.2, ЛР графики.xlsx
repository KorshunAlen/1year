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Kanoo\Desktop\Алёна\ИТ в математике\Тема 2\"/>
    </mc:Choice>
  </mc:AlternateContent>
  <xr:revisionPtr revIDLastSave="0" documentId="13_ncr:1_{D356F606-5B73-4015-91F9-33593C763F9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Задание 1" sheetId="1" r:id="rId1"/>
    <sheet name="Задание 2" sheetId="2" r:id="rId2"/>
    <sheet name="Задание 3" sheetId="8" r:id="rId3"/>
    <sheet name="Задание 3.4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8" i="2" l="1"/>
  <c r="C128" i="2"/>
  <c r="D128" i="2"/>
  <c r="E128" i="2"/>
  <c r="F128" i="2"/>
  <c r="G128" i="2"/>
  <c r="H128" i="2"/>
  <c r="B105" i="2"/>
  <c r="C105" i="2"/>
  <c r="D105" i="2"/>
  <c r="E105" i="2"/>
  <c r="F105" i="2"/>
  <c r="G105" i="2"/>
  <c r="H105" i="2"/>
  <c r="B81" i="2"/>
  <c r="C81" i="2"/>
  <c r="D81" i="2"/>
  <c r="E81" i="2"/>
  <c r="F81" i="2"/>
  <c r="G81" i="2"/>
  <c r="H81" i="2"/>
  <c r="J81" i="2"/>
  <c r="K81" i="2"/>
  <c r="L81" i="2"/>
  <c r="M81" i="2"/>
  <c r="N81" i="2"/>
  <c r="O81" i="2"/>
  <c r="P81" i="2"/>
  <c r="B57" i="2"/>
  <c r="C57" i="2"/>
  <c r="D57" i="2"/>
  <c r="E57" i="2"/>
  <c r="F57" i="2"/>
  <c r="G57" i="2"/>
  <c r="H57" i="2"/>
  <c r="I57" i="2"/>
  <c r="J57" i="2"/>
  <c r="B31" i="2"/>
  <c r="C31" i="2"/>
  <c r="D31" i="2"/>
  <c r="E31" i="2"/>
  <c r="F31" i="2"/>
  <c r="G31" i="2"/>
  <c r="H31" i="2"/>
  <c r="H7" i="2"/>
  <c r="G7" i="2"/>
  <c r="F7" i="2"/>
  <c r="E7" i="2"/>
  <c r="D7" i="2"/>
  <c r="C7" i="2"/>
  <c r="B7" i="2"/>
  <c r="B5" i="9"/>
  <c r="B2" i="8"/>
  <c r="B6" i="9"/>
  <c r="C6" i="9"/>
  <c r="D6" i="9"/>
  <c r="E6" i="9"/>
  <c r="F6" i="9"/>
  <c r="G6" i="9"/>
  <c r="H6" i="9"/>
  <c r="I6" i="9"/>
  <c r="J6" i="9"/>
  <c r="K6" i="9"/>
  <c r="L6" i="9"/>
  <c r="B7" i="9"/>
  <c r="C7" i="9"/>
  <c r="D7" i="9"/>
  <c r="E7" i="9"/>
  <c r="F7" i="9"/>
  <c r="G7" i="9"/>
  <c r="H7" i="9"/>
  <c r="I7" i="9"/>
  <c r="J7" i="9"/>
  <c r="K7" i="9"/>
  <c r="L7" i="9"/>
  <c r="B8" i="9"/>
  <c r="C8" i="9"/>
  <c r="D8" i="9"/>
  <c r="E8" i="9"/>
  <c r="F8" i="9"/>
  <c r="G8" i="9"/>
  <c r="H8" i="9"/>
  <c r="I8" i="9"/>
  <c r="J8" i="9"/>
  <c r="K8" i="9"/>
  <c r="L8" i="9"/>
  <c r="B9" i="9"/>
  <c r="C9" i="9"/>
  <c r="D9" i="9"/>
  <c r="E9" i="9"/>
  <c r="F9" i="9"/>
  <c r="G9" i="9"/>
  <c r="H9" i="9"/>
  <c r="I9" i="9"/>
  <c r="J9" i="9"/>
  <c r="K9" i="9"/>
  <c r="L9" i="9"/>
  <c r="B10" i="9"/>
  <c r="C10" i="9"/>
  <c r="D10" i="9"/>
  <c r="E10" i="9"/>
  <c r="F10" i="9"/>
  <c r="G10" i="9"/>
  <c r="H10" i="9"/>
  <c r="I10" i="9"/>
  <c r="J10" i="9"/>
  <c r="K10" i="9"/>
  <c r="L10" i="9"/>
  <c r="B11" i="9"/>
  <c r="C11" i="9"/>
  <c r="D11" i="9"/>
  <c r="E11" i="9"/>
  <c r="F11" i="9"/>
  <c r="G11" i="9"/>
  <c r="H11" i="9"/>
  <c r="I11" i="9"/>
  <c r="J11" i="9"/>
  <c r="K11" i="9"/>
  <c r="L11" i="9"/>
  <c r="B12" i="9"/>
  <c r="C12" i="9"/>
  <c r="D12" i="9"/>
  <c r="E12" i="9"/>
  <c r="F12" i="9"/>
  <c r="G12" i="9"/>
  <c r="H12" i="9"/>
  <c r="I12" i="9"/>
  <c r="J12" i="9"/>
  <c r="K12" i="9"/>
  <c r="L12" i="9"/>
  <c r="B13" i="9"/>
  <c r="C13" i="9"/>
  <c r="D13" i="9"/>
  <c r="E13" i="9"/>
  <c r="F13" i="9"/>
  <c r="G13" i="9"/>
  <c r="H13" i="9"/>
  <c r="I13" i="9"/>
  <c r="J13" i="9"/>
  <c r="K13" i="9"/>
  <c r="L13" i="9"/>
  <c r="B14" i="9"/>
  <c r="C14" i="9"/>
  <c r="D14" i="9"/>
  <c r="E14" i="9"/>
  <c r="F14" i="9"/>
  <c r="G14" i="9"/>
  <c r="H14" i="9"/>
  <c r="I14" i="9"/>
  <c r="J14" i="9"/>
  <c r="K14" i="9"/>
  <c r="L14" i="9"/>
  <c r="B15" i="9"/>
  <c r="C15" i="9"/>
  <c r="D15" i="9"/>
  <c r="E15" i="9"/>
  <c r="F15" i="9"/>
  <c r="G15" i="9"/>
  <c r="H15" i="9"/>
  <c r="I15" i="9"/>
  <c r="J15" i="9"/>
  <c r="K15" i="9"/>
  <c r="L15" i="9"/>
  <c r="C5" i="9"/>
  <c r="D5" i="9"/>
  <c r="E5" i="9"/>
  <c r="F5" i="9"/>
  <c r="G5" i="9"/>
  <c r="H5" i="9"/>
  <c r="I5" i="9"/>
  <c r="J5" i="9"/>
  <c r="K5" i="9"/>
  <c r="L5" i="9"/>
  <c r="B3" i="8"/>
  <c r="C3" i="8"/>
  <c r="D3" i="8"/>
  <c r="E3" i="8"/>
  <c r="F3" i="8"/>
  <c r="G3" i="8"/>
  <c r="H3" i="8"/>
  <c r="I3" i="8"/>
  <c r="J3" i="8"/>
  <c r="K3" i="8"/>
  <c r="L3" i="8"/>
  <c r="B4" i="8"/>
  <c r="C4" i="8"/>
  <c r="D4" i="8"/>
  <c r="E4" i="8"/>
  <c r="F4" i="8"/>
  <c r="G4" i="8"/>
  <c r="H4" i="8"/>
  <c r="I4" i="8"/>
  <c r="J4" i="8"/>
  <c r="K4" i="8"/>
  <c r="L4" i="8"/>
  <c r="B5" i="8"/>
  <c r="C5" i="8"/>
  <c r="D5" i="8"/>
  <c r="E5" i="8"/>
  <c r="F5" i="8"/>
  <c r="G5" i="8"/>
  <c r="H5" i="8"/>
  <c r="I5" i="8"/>
  <c r="J5" i="8"/>
  <c r="K5" i="8"/>
  <c r="L5" i="8"/>
  <c r="B6" i="8"/>
  <c r="C6" i="8"/>
  <c r="D6" i="8"/>
  <c r="E6" i="8"/>
  <c r="F6" i="8"/>
  <c r="G6" i="8"/>
  <c r="H6" i="8"/>
  <c r="I6" i="8"/>
  <c r="J6" i="8"/>
  <c r="K6" i="8"/>
  <c r="L6" i="8"/>
  <c r="B7" i="8"/>
  <c r="C7" i="8"/>
  <c r="D7" i="8"/>
  <c r="E7" i="8"/>
  <c r="F7" i="8"/>
  <c r="G7" i="8"/>
  <c r="H7" i="8"/>
  <c r="I7" i="8"/>
  <c r="J7" i="8"/>
  <c r="K7" i="8"/>
  <c r="L7" i="8"/>
  <c r="B8" i="8"/>
  <c r="C8" i="8"/>
  <c r="D8" i="8"/>
  <c r="E8" i="8"/>
  <c r="F8" i="8"/>
  <c r="G8" i="8"/>
  <c r="H8" i="8"/>
  <c r="I8" i="8"/>
  <c r="J8" i="8"/>
  <c r="K8" i="8"/>
  <c r="L8" i="8"/>
  <c r="B9" i="8"/>
  <c r="C9" i="8"/>
  <c r="D9" i="8"/>
  <c r="E9" i="8"/>
  <c r="F9" i="8"/>
  <c r="G9" i="8"/>
  <c r="H9" i="8"/>
  <c r="I9" i="8"/>
  <c r="J9" i="8"/>
  <c r="K9" i="8"/>
  <c r="L9" i="8"/>
  <c r="B10" i="8"/>
  <c r="C10" i="8"/>
  <c r="D10" i="8"/>
  <c r="E10" i="8"/>
  <c r="F10" i="8"/>
  <c r="G10" i="8"/>
  <c r="H10" i="8"/>
  <c r="I10" i="8"/>
  <c r="J10" i="8"/>
  <c r="K10" i="8"/>
  <c r="L10" i="8"/>
  <c r="B11" i="8"/>
  <c r="C11" i="8"/>
  <c r="D11" i="8"/>
  <c r="E11" i="8"/>
  <c r="F11" i="8"/>
  <c r="G11" i="8"/>
  <c r="H11" i="8"/>
  <c r="I11" i="8"/>
  <c r="J11" i="8"/>
  <c r="K11" i="8"/>
  <c r="L11" i="8"/>
  <c r="B12" i="8"/>
  <c r="C12" i="8"/>
  <c r="D12" i="8"/>
  <c r="E12" i="8"/>
  <c r="F12" i="8"/>
  <c r="G12" i="8"/>
  <c r="H12" i="8"/>
  <c r="I12" i="8"/>
  <c r="J12" i="8"/>
  <c r="K12" i="8"/>
  <c r="L12" i="8"/>
  <c r="C2" i="8"/>
  <c r="D2" i="8"/>
  <c r="E2" i="8"/>
  <c r="F2" i="8"/>
  <c r="G2" i="8"/>
  <c r="H2" i="8"/>
  <c r="I2" i="8"/>
  <c r="J2" i="8"/>
  <c r="K2" i="8"/>
  <c r="L2" i="8"/>
  <c r="C5" i="1"/>
  <c r="D5" i="1"/>
  <c r="E5" i="1"/>
  <c r="F5" i="1"/>
  <c r="G5" i="1"/>
  <c r="H5" i="1"/>
  <c r="B5" i="1"/>
</calcChain>
</file>

<file path=xl/sharedStrings.xml><?xml version="1.0" encoding="utf-8"?>
<sst xmlns="http://schemas.openxmlformats.org/spreadsheetml/2006/main" count="26" uniqueCount="12">
  <si>
    <t>k</t>
  </si>
  <si>
    <t>b</t>
  </si>
  <si>
    <t>x</t>
  </si>
  <si>
    <t>y</t>
  </si>
  <si>
    <t>c</t>
  </si>
  <si>
    <t>a</t>
  </si>
  <si>
    <t>Задание 1</t>
  </si>
  <si>
    <t>Задание 2</t>
  </si>
  <si>
    <t>Задание 3</t>
  </si>
  <si>
    <t>Задание 4</t>
  </si>
  <si>
    <t>Задание 5</t>
  </si>
  <si>
    <t>Задание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</si>
</sst>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5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График</a:t>
            </a:r>
            <a:r>
              <a:rPr lang="ru-RU" b="1" baseline="0"/>
              <a:t> линейной функции </a:t>
            </a:r>
            <a:r>
              <a:rPr lang="en-US" b="1" baseline="0"/>
              <a:t>y = kx + b </a:t>
            </a:r>
            <a:endParaRPr lang="ru-RU" b="1"/>
          </a:p>
        </c:rich>
      </c:tx>
      <c:layout>
        <c:manualLayout>
          <c:xMode val="edge"/>
          <c:yMode val="edge"/>
          <c:x val="0.22203078829196776"/>
          <c:y val="1.94742679622577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6971153846153831E-2"/>
          <c:y val="9.2042539214728936E-2"/>
          <c:w val="0.90146901709401706"/>
          <c:h val="0.8313779971415635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'Задание 1'!$A$5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rgbClr val="C0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D873-4EF7-A3F1-BD36BE1C1602}"/>
              </c:ext>
            </c:extLst>
          </c:dPt>
          <c:xVal>
            <c:numRef>
              <c:f>'Задание 1'!$B$4:$H$4</c:f>
              <c:numCache>
                <c:formatCode>General</c:formatCode>
                <c:ptCount val="7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xVal>
          <c:yVal>
            <c:numRef>
              <c:f>'Задание 1'!$B$5:$H$5</c:f>
              <c:numCache>
                <c:formatCode>General</c:formatCode>
                <c:ptCount val="7"/>
                <c:pt idx="0">
                  <c:v>-9</c:v>
                </c:pt>
                <c:pt idx="1">
                  <c:v>-5</c:v>
                </c:pt>
                <c:pt idx="2">
                  <c:v>-1</c:v>
                </c:pt>
                <c:pt idx="3">
                  <c:v>3</c:v>
                </c:pt>
                <c:pt idx="4">
                  <c:v>7</c:v>
                </c:pt>
                <c:pt idx="5">
                  <c:v>11</c:v>
                </c:pt>
                <c:pt idx="6">
                  <c:v>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73-4EF7-A3F1-BD36BE1C1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8956511"/>
        <c:axId val="498957759"/>
      </c:scatterChart>
      <c:valAx>
        <c:axId val="498956511"/>
        <c:scaling>
          <c:orientation val="minMax"/>
          <c:max val="6"/>
          <c:min val="-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t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y</a:t>
                </a:r>
                <a:endParaRPr lang="ru-RU" sz="1400" b="1"/>
              </a:p>
            </c:rich>
          </c:tx>
          <c:layout>
            <c:manualLayout>
              <c:xMode val="edge"/>
              <c:yMode val="edge"/>
              <c:x val="0.52164793330529413"/>
              <c:y val="8.134328340473628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t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5400" cap="flat" cmpd="sng" algn="ctr">
            <a:solidFill>
              <a:schemeClr val="tx1">
                <a:lumMod val="65000"/>
                <a:lumOff val="35000"/>
              </a:schemeClr>
            </a:solidFill>
            <a:round/>
            <a:headEnd type="none"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8957759"/>
        <c:crosses val="autoZero"/>
        <c:crossBetween val="midCat"/>
      </c:valAx>
      <c:valAx>
        <c:axId val="49895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b" anchorCtr="0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x</a:t>
                </a:r>
              </a:p>
            </c:rich>
          </c:tx>
          <c:layout>
            <c:manualLayout>
              <c:xMode val="edge"/>
              <c:yMode val="edge"/>
              <c:x val="0.91483127615882864"/>
              <c:y val="0.496073609805007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b" anchorCtr="0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5400" cap="flat" cmpd="sng" algn="ctr">
            <a:solidFill>
              <a:schemeClr val="tx1">
                <a:lumMod val="65000"/>
                <a:lumOff val="35000"/>
              </a:schemeClr>
            </a:solidFill>
            <a:round/>
            <a:tailEnd type="arrow"/>
          </a:ln>
          <a:effectLst>
            <a:outerShdw sx="1000" sy="1000" algn="ctr" rotWithShape="0">
              <a:schemeClr val="bg1"/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8956511"/>
        <c:crosses val="autoZero"/>
        <c:crossBetween val="midCat"/>
      </c:valAx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График функции </a:t>
            </a:r>
            <a:r>
              <a:rPr lang="en-US" b="1"/>
              <a:t>y = 2^x </a:t>
            </a:r>
            <a:r>
              <a:rPr lang="en-US" b="1" baseline="0"/>
              <a:t>+ 3</a:t>
            </a:r>
            <a:endParaRPr lang="ru-RU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'Задание 2'!$A$7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'Задание 2'!$B$6:$H$6</c:f>
              <c:numCache>
                <c:formatCode>General</c:formatCode>
                <c:ptCount val="7"/>
                <c:pt idx="0">
                  <c:v>-5</c:v>
                </c:pt>
                <c:pt idx="1">
                  <c:v>-3</c:v>
                </c:pt>
                <c:pt idx="2">
                  <c:v>-1</c:v>
                </c:pt>
                <c:pt idx="3">
                  <c:v>1</c:v>
                </c:pt>
                <c:pt idx="4">
                  <c:v>3</c:v>
                </c:pt>
                <c:pt idx="5">
                  <c:v>5</c:v>
                </c:pt>
                <c:pt idx="6">
                  <c:v>7</c:v>
                </c:pt>
              </c:numCache>
            </c:numRef>
          </c:xVal>
          <c:yVal>
            <c:numRef>
              <c:f>'Задание 2'!$B$7:$H$7</c:f>
              <c:numCache>
                <c:formatCode>General</c:formatCode>
                <c:ptCount val="7"/>
                <c:pt idx="0">
                  <c:v>3.03125</c:v>
                </c:pt>
                <c:pt idx="1">
                  <c:v>3.125</c:v>
                </c:pt>
                <c:pt idx="2">
                  <c:v>3.5</c:v>
                </c:pt>
                <c:pt idx="3">
                  <c:v>5</c:v>
                </c:pt>
                <c:pt idx="4">
                  <c:v>11</c:v>
                </c:pt>
                <c:pt idx="5">
                  <c:v>35</c:v>
                </c:pt>
                <c:pt idx="6">
                  <c:v>131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AD-4C32-906E-CB113D317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2788831"/>
        <c:axId val="492787583"/>
      </c:scatterChart>
      <c:valAx>
        <c:axId val="492788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b" anchorCtr="0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x</a:t>
                </a:r>
                <a:endParaRPr lang="ru-RU" sz="1200" b="1"/>
              </a:p>
            </c:rich>
          </c:tx>
          <c:layout>
            <c:manualLayout>
              <c:xMode val="edge"/>
              <c:yMode val="edge"/>
              <c:x val="0.92203255376660009"/>
              <c:y val="0.774677599852472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b" anchorCtr="0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2787583"/>
        <c:crosses val="autoZero"/>
        <c:crossBetween val="midCat"/>
      </c:valAx>
      <c:valAx>
        <c:axId val="49278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y</a:t>
                </a:r>
                <a:endParaRPr lang="ru-RU" sz="1200" b="1"/>
              </a:p>
            </c:rich>
          </c:tx>
          <c:layout>
            <c:manualLayout>
              <c:xMode val="edge"/>
              <c:yMode val="edge"/>
              <c:x val="0.45936213991769548"/>
              <c:y val="0.125170397933181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2788831"/>
        <c:crosses val="autoZero"/>
        <c:crossBetween val="midCat"/>
      </c:valAx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График</a:t>
            </a:r>
            <a:r>
              <a:rPr lang="ru-RU" b="1" baseline="0"/>
              <a:t> функции </a:t>
            </a:r>
            <a:r>
              <a:rPr lang="en-US" b="1" baseline="0"/>
              <a:t>y=sqrt(x)</a:t>
            </a:r>
            <a:r>
              <a:rPr lang="ru-RU" b="1" baseline="0"/>
              <a:t>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'Задание 2'!$A$31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'Задание 2'!$B$30:$H$30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</c:numCache>
            </c:numRef>
          </c:xVal>
          <c:yVal>
            <c:numRef>
              <c:f>'Задание 2'!$B$31:$H$31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4B-409D-A5AA-A0AE3FC83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380975"/>
        <c:axId val="514381807"/>
      </c:scatterChart>
      <c:valAx>
        <c:axId val="514380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x</a:t>
                </a:r>
                <a:endParaRPr lang="ru-RU" sz="1200" b="1"/>
              </a:p>
            </c:rich>
          </c:tx>
          <c:layout>
            <c:manualLayout>
              <c:xMode val="edge"/>
              <c:yMode val="edge"/>
              <c:x val="0.9164351190476191"/>
              <c:y val="0.79113636363636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4381807"/>
        <c:crosses val="autoZero"/>
        <c:crossBetween val="midCat"/>
      </c:valAx>
      <c:valAx>
        <c:axId val="51438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t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y</a:t>
                </a:r>
                <a:endParaRPr lang="ru-RU" sz="1200" b="1"/>
              </a:p>
            </c:rich>
          </c:tx>
          <c:layout>
            <c:manualLayout>
              <c:xMode val="edge"/>
              <c:yMode val="edge"/>
              <c:x val="0.10632936507936508"/>
              <c:y val="0.115514141414141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t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4380975"/>
        <c:crosses val="autoZero"/>
        <c:crossBetween val="midCat"/>
      </c:valAx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baseline="0">
                <a:effectLst/>
              </a:rPr>
              <a:t>График функции </a:t>
            </a:r>
            <a:r>
              <a:rPr lang="en-US" sz="1400" b="1" i="0" baseline="0">
                <a:effectLst/>
              </a:rPr>
              <a:t>y = 7 - |x|</a:t>
            </a:r>
            <a:endParaRPr lang="ru-RU" sz="1400" b="1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4.8894586760857568E-2"/>
          <c:y val="0.15383828045035827"/>
          <c:w val="0.90500506549945037"/>
          <c:h val="0.77570794950528832"/>
        </c:manualLayout>
      </c:layout>
      <c:scatterChart>
        <c:scatterStyle val="lineMarker"/>
        <c:varyColors val="0"/>
        <c:ser>
          <c:idx val="0"/>
          <c:order val="0"/>
          <c:tx>
            <c:strRef>
              <c:f>'Задание 2'!$A$57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'Задание 2'!$B$56:$J$56</c:f>
              <c:numCache>
                <c:formatCode>General</c:formatCode>
                <c:ptCount val="9"/>
                <c:pt idx="0">
                  <c:v>-8</c:v>
                </c:pt>
                <c:pt idx="1">
                  <c:v>-6</c:v>
                </c:pt>
                <c:pt idx="2">
                  <c:v>-4</c:v>
                </c:pt>
                <c:pt idx="3">
                  <c:v>-2</c:v>
                </c:pt>
                <c:pt idx="4">
                  <c:v>0</c:v>
                </c:pt>
                <c:pt idx="5">
                  <c:v>2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</c:numCache>
            </c:numRef>
          </c:xVal>
          <c:yVal>
            <c:numRef>
              <c:f>'Задание 2'!$B$57:$J$57</c:f>
              <c:numCache>
                <c:formatCode>General</c:formatCode>
                <c:ptCount val="9"/>
                <c:pt idx="0">
                  <c:v>-1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5</c:v>
                </c:pt>
                <c:pt idx="6">
                  <c:v>3</c:v>
                </c:pt>
                <c:pt idx="7">
                  <c:v>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26-4530-8271-00621B09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861567"/>
        <c:axId val="486863647"/>
      </c:scatterChart>
      <c:valAx>
        <c:axId val="486861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  <a:t>x</a:t>
                </a:r>
                <a:endParaRPr lang="ru-RU" sz="1200" b="1">
                  <a:solidFill>
                    <a:schemeClr val="tx1">
                      <a:lumMod val="75000"/>
                      <a:lumOff val="25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0.91009186507936513"/>
              <c:y val="0.613413383838383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6863647"/>
        <c:crosses val="autoZero"/>
        <c:crossBetween val="midCat"/>
      </c:valAx>
      <c:valAx>
        <c:axId val="486863647"/>
        <c:scaling>
          <c:orientation val="minMax"/>
          <c:min val="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  <a:t>y</a:t>
                </a:r>
                <a:endParaRPr lang="ru-RU" sz="1200" b="1">
                  <a:solidFill>
                    <a:schemeClr val="tx1">
                      <a:lumMod val="75000"/>
                      <a:lumOff val="25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0.50659841269841266"/>
              <c:y val="0.150895454545454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6861567"/>
        <c:crosses val="autoZero"/>
        <c:crossBetween val="midCat"/>
      </c:valAx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График</a:t>
            </a:r>
            <a:r>
              <a:rPr lang="ru-RU" b="1" baseline="0"/>
              <a:t> функции </a:t>
            </a:r>
            <a:r>
              <a:rPr lang="en-US" b="1"/>
              <a:t>y</a:t>
            </a:r>
            <a:r>
              <a:rPr lang="ru-RU" b="1"/>
              <a:t>=1</a:t>
            </a:r>
            <a:r>
              <a:rPr lang="en-US" b="1"/>
              <a:t>/x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4.1185348424458534E-2"/>
          <c:y val="0.10630097120703716"/>
          <c:w val="0.931693336946398"/>
          <c:h val="0.8135681862669154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'Задание 2'!$A$81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'Задание 2'!$B$80:$P$80</c:f>
              <c:numCache>
                <c:formatCode>General</c:formatCode>
                <c:ptCount val="15"/>
                <c:pt idx="0">
                  <c:v>-3</c:v>
                </c:pt>
                <c:pt idx="1">
                  <c:v>-2.5</c:v>
                </c:pt>
                <c:pt idx="2">
                  <c:v>-2</c:v>
                </c:pt>
                <c:pt idx="3">
                  <c:v>-1.25</c:v>
                </c:pt>
                <c:pt idx="4">
                  <c:v>-1</c:v>
                </c:pt>
                <c:pt idx="5">
                  <c:v>-0.5</c:v>
                </c:pt>
                <c:pt idx="6">
                  <c:v>-0.25</c:v>
                </c:pt>
                <c:pt idx="8">
                  <c:v>0.25</c:v>
                </c:pt>
                <c:pt idx="9">
                  <c:v>0.5</c:v>
                </c:pt>
                <c:pt idx="10">
                  <c:v>1</c:v>
                </c:pt>
                <c:pt idx="11">
                  <c:v>1.25</c:v>
                </c:pt>
                <c:pt idx="12">
                  <c:v>2</c:v>
                </c:pt>
                <c:pt idx="13">
                  <c:v>2.5</c:v>
                </c:pt>
                <c:pt idx="14">
                  <c:v>3</c:v>
                </c:pt>
              </c:numCache>
            </c:numRef>
          </c:xVal>
          <c:yVal>
            <c:numRef>
              <c:f>'Задание 2'!$B$81:$P$81</c:f>
              <c:numCache>
                <c:formatCode>General</c:formatCode>
                <c:ptCount val="15"/>
                <c:pt idx="0">
                  <c:v>-0.33333333333333331</c:v>
                </c:pt>
                <c:pt idx="1">
                  <c:v>-0.4</c:v>
                </c:pt>
                <c:pt idx="2">
                  <c:v>-0.5</c:v>
                </c:pt>
                <c:pt idx="3">
                  <c:v>-0.8</c:v>
                </c:pt>
                <c:pt idx="4">
                  <c:v>-1</c:v>
                </c:pt>
                <c:pt idx="5">
                  <c:v>-2</c:v>
                </c:pt>
                <c:pt idx="6">
                  <c:v>-4</c:v>
                </c:pt>
                <c:pt idx="8">
                  <c:v>4</c:v>
                </c:pt>
                <c:pt idx="9">
                  <c:v>2</c:v>
                </c:pt>
                <c:pt idx="10">
                  <c:v>1</c:v>
                </c:pt>
                <c:pt idx="11">
                  <c:v>0.8</c:v>
                </c:pt>
                <c:pt idx="12">
                  <c:v>0.5</c:v>
                </c:pt>
                <c:pt idx="13">
                  <c:v>0.4</c:v>
                </c:pt>
                <c:pt idx="14">
                  <c:v>0.33333333333333331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5B-4484-BACA-4BB765499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029999"/>
        <c:axId val="525032911"/>
      </c:scatterChart>
      <c:valAx>
        <c:axId val="525029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x</a:t>
                </a:r>
                <a:endParaRPr lang="ru-RU" sz="1200" b="1"/>
              </a:p>
            </c:rich>
          </c:tx>
          <c:layout>
            <c:manualLayout>
              <c:xMode val="edge"/>
              <c:yMode val="edge"/>
              <c:x val="0.92412420634920633"/>
              <c:y val="0.450759090909090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5032911"/>
        <c:crosses val="autoZero"/>
        <c:crossBetween val="midCat"/>
      </c:valAx>
      <c:valAx>
        <c:axId val="52503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y</a:t>
                </a:r>
                <a:endParaRPr lang="ru-RU" sz="1200" b="1"/>
              </a:p>
            </c:rich>
          </c:tx>
          <c:layout>
            <c:manualLayout>
              <c:xMode val="edge"/>
              <c:yMode val="edge"/>
              <c:x val="0.51279796567708169"/>
              <c:y val="9.824159482418731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5029999"/>
        <c:crosses val="autoZero"/>
        <c:crossBetween val="midCat"/>
      </c:valAx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График</a:t>
            </a:r>
            <a:r>
              <a:rPr lang="ru-RU" b="1" baseline="0"/>
              <a:t> функции </a:t>
            </a:r>
            <a:r>
              <a:rPr lang="en-US" b="1" baseline="0"/>
              <a:t>y=ln(x)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4914479440069986E-2"/>
          <c:y val="0.16708333333333336"/>
          <c:w val="0.87318963254593174"/>
          <c:h val="0.7773611111111110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'Задание 2'!$A$105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'Задание 2'!$B$104:$H$104</c:f>
              <c:numCache>
                <c:formatCode>General</c:formatCode>
                <c:ptCount val="7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</c:numCache>
            </c:numRef>
          </c:xVal>
          <c:yVal>
            <c:numRef>
              <c:f>'Задание 2'!$B$105:$H$105</c:f>
              <c:numCache>
                <c:formatCode>General</c:formatCode>
                <c:ptCount val="7"/>
                <c:pt idx="0">
                  <c:v>-1.3862943611198906</c:v>
                </c:pt>
                <c:pt idx="1">
                  <c:v>-0.69314718055994529</c:v>
                </c:pt>
                <c:pt idx="2">
                  <c:v>0</c:v>
                </c:pt>
                <c:pt idx="3">
                  <c:v>0.40546510810816438</c:v>
                </c:pt>
                <c:pt idx="4">
                  <c:v>0.69314718055994529</c:v>
                </c:pt>
                <c:pt idx="5">
                  <c:v>0.91629073187415511</c:v>
                </c:pt>
                <c:pt idx="6">
                  <c:v>1.0986122886681098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05-4ADD-8678-F44DBEE20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812687"/>
        <c:axId val="457809359"/>
      </c:scatterChart>
      <c:valAx>
        <c:axId val="457812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x</a:t>
                </a:r>
                <a:endParaRPr lang="ru-RU" sz="1200" b="1"/>
              </a:p>
            </c:rich>
          </c:tx>
          <c:layout>
            <c:manualLayout>
              <c:xMode val="edge"/>
              <c:yMode val="edge"/>
              <c:x val="0.90875257936507936"/>
              <c:y val="0.435610101010101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7809359"/>
        <c:crosses val="autoZero"/>
        <c:crossBetween val="midCat"/>
      </c:valAx>
      <c:valAx>
        <c:axId val="45780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y</a:t>
                </a:r>
                <a:endParaRPr lang="ru-RU" sz="1200" b="1"/>
              </a:p>
            </c:rich>
          </c:tx>
          <c:layout>
            <c:manualLayout>
              <c:xMode val="edge"/>
              <c:yMode val="edge"/>
              <c:x val="8.3702609551944848E-2"/>
              <c:y val="0.15795146737927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7812687"/>
        <c:crosses val="autoZero"/>
        <c:crossBetween val="midCat"/>
      </c:valAx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График</a:t>
            </a:r>
            <a:r>
              <a:rPr lang="ru-RU" b="1" baseline="0"/>
              <a:t> функции </a:t>
            </a:r>
            <a:r>
              <a:rPr lang="en-US" b="1" baseline="0"/>
              <a:t>y=ln(5)</a:t>
            </a:r>
            <a:endParaRPr lang="en-US" b="1"/>
          </a:p>
        </c:rich>
      </c:tx>
      <c:layout>
        <c:manualLayout>
          <c:xMode val="edge"/>
          <c:yMode val="edge"/>
          <c:x val="0.283682977127859"/>
          <c:y val="2.59259259259259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9.791408886389201E-2"/>
          <c:y val="0.13737037037037036"/>
          <c:w val="0.8625621016122984"/>
          <c:h val="0.7335619714202392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'Задание 2'!$A$128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yVal>
            <c:numRef>
              <c:f>'Задание 2'!$B$128:$H$128</c:f>
              <c:numCache>
                <c:formatCode>General</c:formatCode>
                <c:ptCount val="7"/>
                <c:pt idx="0">
                  <c:v>1.6094379124341003</c:v>
                </c:pt>
                <c:pt idx="1">
                  <c:v>1.6094379124341003</c:v>
                </c:pt>
                <c:pt idx="2">
                  <c:v>1.6094379124341003</c:v>
                </c:pt>
                <c:pt idx="3">
                  <c:v>1.6094379124341003</c:v>
                </c:pt>
                <c:pt idx="4">
                  <c:v>1.6094379124341003</c:v>
                </c:pt>
                <c:pt idx="5">
                  <c:v>1.6094379124341003</c:v>
                </c:pt>
                <c:pt idx="6">
                  <c:v>1.6094379124341003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05-4A43-BB58-EEB94F19B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863231"/>
        <c:axId val="486861567"/>
      </c:scatterChart>
      <c:valAx>
        <c:axId val="486863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x</a:t>
                </a:r>
                <a:endParaRPr lang="ru-RU" sz="1200" b="1"/>
              </a:p>
            </c:rich>
          </c:tx>
          <c:layout>
            <c:manualLayout>
              <c:xMode val="edge"/>
              <c:yMode val="edge"/>
              <c:x val="0.91900416666666662"/>
              <c:y val="0.812634595959595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out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6861567"/>
        <c:crosses val="autoZero"/>
        <c:crossBetween val="midCat"/>
      </c:valAx>
      <c:valAx>
        <c:axId val="48686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y</a:t>
                </a:r>
                <a:endParaRPr lang="ru-RU" sz="1200" b="1"/>
              </a:p>
            </c:rich>
          </c:tx>
          <c:layout>
            <c:manualLayout>
              <c:xMode val="edge"/>
              <c:yMode val="edge"/>
              <c:x val="0.1101190476190476"/>
              <c:y val="0.124142023913677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6863231"/>
        <c:crosses val="autoZero"/>
        <c:crossBetween val="midCat"/>
      </c:valAx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cap="none" baseline="0">
                <a:solidFill>
                  <a:sysClr val="windowText" lastClr="000000"/>
                </a:solidFill>
              </a:rPr>
              <a:t>Гиперболический параболоид</a:t>
            </a:r>
            <a:endParaRPr lang="ru-RU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58660445222125"/>
          <c:y val="2.5500910746812388E-2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'Задание 3'!$A$2</c:f>
              <c:strCache>
                <c:ptCount val="1"/>
                <c:pt idx="0">
                  <c:v>-5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3'!$B$2:$L$2</c:f>
              <c:numCache>
                <c:formatCode>General</c:formatCode>
                <c:ptCount val="11"/>
                <c:pt idx="0">
                  <c:v>31.25</c:v>
                </c:pt>
                <c:pt idx="1">
                  <c:v>11</c:v>
                </c:pt>
                <c:pt idx="2">
                  <c:v>-4.75</c:v>
                </c:pt>
                <c:pt idx="3">
                  <c:v>-16</c:v>
                </c:pt>
                <c:pt idx="4">
                  <c:v>-22.75</c:v>
                </c:pt>
                <c:pt idx="5">
                  <c:v>-25</c:v>
                </c:pt>
                <c:pt idx="6">
                  <c:v>-22.75</c:v>
                </c:pt>
                <c:pt idx="7">
                  <c:v>-16</c:v>
                </c:pt>
                <c:pt idx="8">
                  <c:v>-4.75</c:v>
                </c:pt>
                <c:pt idx="9">
                  <c:v>11</c:v>
                </c:pt>
                <c:pt idx="10">
                  <c:v>31.25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BA-49F3-BC6B-48140B1B9D7F}"/>
            </c:ext>
          </c:extLst>
        </c:ser>
        <c:ser>
          <c:idx val="1"/>
          <c:order val="1"/>
          <c:tx>
            <c:strRef>
              <c:f>'Задание 3'!$A$3</c:f>
              <c:strCache>
                <c:ptCount val="1"/>
                <c:pt idx="0">
                  <c:v>-4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3'!$B$3:$L$3</c:f>
              <c:numCache>
                <c:formatCode>General</c:formatCode>
                <c:ptCount val="11"/>
                <c:pt idx="0">
                  <c:v>40.25</c:v>
                </c:pt>
                <c:pt idx="1">
                  <c:v>20</c:v>
                </c:pt>
                <c:pt idx="2">
                  <c:v>4.25</c:v>
                </c:pt>
                <c:pt idx="3">
                  <c:v>-7</c:v>
                </c:pt>
                <c:pt idx="4">
                  <c:v>-13.75</c:v>
                </c:pt>
                <c:pt idx="5">
                  <c:v>-16</c:v>
                </c:pt>
                <c:pt idx="6">
                  <c:v>-13.75</c:v>
                </c:pt>
                <c:pt idx="7">
                  <c:v>-7</c:v>
                </c:pt>
                <c:pt idx="8">
                  <c:v>4.25</c:v>
                </c:pt>
                <c:pt idx="9">
                  <c:v>20</c:v>
                </c:pt>
                <c:pt idx="10">
                  <c:v>40.25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BA-49F3-BC6B-48140B1B9D7F}"/>
            </c:ext>
          </c:extLst>
        </c:ser>
        <c:ser>
          <c:idx val="2"/>
          <c:order val="2"/>
          <c:tx>
            <c:strRef>
              <c:f>'Задание 3'!$A$4</c:f>
              <c:strCache>
                <c:ptCount val="1"/>
                <c:pt idx="0">
                  <c:v>-3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3'!$B$4:$L$4</c:f>
              <c:numCache>
                <c:formatCode>General</c:formatCode>
                <c:ptCount val="11"/>
                <c:pt idx="0">
                  <c:v>47.25</c:v>
                </c:pt>
                <c:pt idx="1">
                  <c:v>27</c:v>
                </c:pt>
                <c:pt idx="2">
                  <c:v>11.25</c:v>
                </c:pt>
                <c:pt idx="3">
                  <c:v>0</c:v>
                </c:pt>
                <c:pt idx="4">
                  <c:v>-6.75</c:v>
                </c:pt>
                <c:pt idx="5">
                  <c:v>-9</c:v>
                </c:pt>
                <c:pt idx="6">
                  <c:v>-6.75</c:v>
                </c:pt>
                <c:pt idx="7">
                  <c:v>0</c:v>
                </c:pt>
                <c:pt idx="8">
                  <c:v>11.25</c:v>
                </c:pt>
                <c:pt idx="9">
                  <c:v>27</c:v>
                </c:pt>
                <c:pt idx="10">
                  <c:v>47.25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BA-49F3-BC6B-48140B1B9D7F}"/>
            </c:ext>
          </c:extLst>
        </c:ser>
        <c:ser>
          <c:idx val="3"/>
          <c:order val="3"/>
          <c:tx>
            <c:strRef>
              <c:f>'Задание 3'!$A$5</c:f>
              <c:strCache>
                <c:ptCount val="1"/>
                <c:pt idx="0">
                  <c:v>-2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3'!$B$5:$L$5</c:f>
              <c:numCache>
                <c:formatCode>General</c:formatCode>
                <c:ptCount val="11"/>
                <c:pt idx="0">
                  <c:v>52.25</c:v>
                </c:pt>
                <c:pt idx="1">
                  <c:v>32</c:v>
                </c:pt>
                <c:pt idx="2">
                  <c:v>16.25</c:v>
                </c:pt>
                <c:pt idx="3">
                  <c:v>5</c:v>
                </c:pt>
                <c:pt idx="4">
                  <c:v>-1.75</c:v>
                </c:pt>
                <c:pt idx="5">
                  <c:v>-4</c:v>
                </c:pt>
                <c:pt idx="6">
                  <c:v>-1.75</c:v>
                </c:pt>
                <c:pt idx="7">
                  <c:v>5</c:v>
                </c:pt>
                <c:pt idx="8">
                  <c:v>16.25</c:v>
                </c:pt>
                <c:pt idx="9">
                  <c:v>32</c:v>
                </c:pt>
                <c:pt idx="10">
                  <c:v>52.25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BA-49F3-BC6B-48140B1B9D7F}"/>
            </c:ext>
          </c:extLst>
        </c:ser>
        <c:ser>
          <c:idx val="4"/>
          <c:order val="4"/>
          <c:tx>
            <c:strRef>
              <c:f>'Задание 3'!$A$6</c:f>
              <c:strCache>
                <c:ptCount val="1"/>
                <c:pt idx="0">
                  <c:v>-1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95000"/>
                </a:schemeClr>
              </a:contourClr>
            </a:sp3d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3'!$B$6:$L$6</c:f>
              <c:numCache>
                <c:formatCode>General</c:formatCode>
                <c:ptCount val="11"/>
                <c:pt idx="0">
                  <c:v>55.25</c:v>
                </c:pt>
                <c:pt idx="1">
                  <c:v>35</c:v>
                </c:pt>
                <c:pt idx="2">
                  <c:v>19.25</c:v>
                </c:pt>
                <c:pt idx="3">
                  <c:v>8</c:v>
                </c:pt>
                <c:pt idx="4">
                  <c:v>1.25</c:v>
                </c:pt>
                <c:pt idx="5">
                  <c:v>-1</c:v>
                </c:pt>
                <c:pt idx="6">
                  <c:v>1.25</c:v>
                </c:pt>
                <c:pt idx="7">
                  <c:v>8</c:v>
                </c:pt>
                <c:pt idx="8">
                  <c:v>19.25</c:v>
                </c:pt>
                <c:pt idx="9">
                  <c:v>35</c:v>
                </c:pt>
                <c:pt idx="10">
                  <c:v>55.25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BA-49F3-BC6B-48140B1B9D7F}"/>
            </c:ext>
          </c:extLst>
        </c:ser>
        <c:ser>
          <c:idx val="5"/>
          <c:order val="5"/>
          <c:tx>
            <c:strRef>
              <c:f>'Задание 3'!$A$7</c:f>
              <c:strCache>
                <c:ptCount val="1"/>
                <c:pt idx="0">
                  <c:v>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3'!$B$7:$L$7</c:f>
              <c:numCache>
                <c:formatCode>General</c:formatCode>
                <c:ptCount val="11"/>
                <c:pt idx="0">
                  <c:v>56.25</c:v>
                </c:pt>
                <c:pt idx="1">
                  <c:v>36</c:v>
                </c:pt>
                <c:pt idx="2">
                  <c:v>20.25</c:v>
                </c:pt>
                <c:pt idx="3">
                  <c:v>9</c:v>
                </c:pt>
                <c:pt idx="4">
                  <c:v>2.25</c:v>
                </c:pt>
                <c:pt idx="5">
                  <c:v>0</c:v>
                </c:pt>
                <c:pt idx="6">
                  <c:v>2.25</c:v>
                </c:pt>
                <c:pt idx="7">
                  <c:v>9</c:v>
                </c:pt>
                <c:pt idx="8">
                  <c:v>20.25</c:v>
                </c:pt>
                <c:pt idx="9">
                  <c:v>36</c:v>
                </c:pt>
                <c:pt idx="10">
                  <c:v>56.25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9BA-49F3-BC6B-48140B1B9D7F}"/>
            </c:ext>
          </c:extLst>
        </c:ser>
        <c:ser>
          <c:idx val="6"/>
          <c:order val="6"/>
          <c:tx>
            <c:strRef>
              <c:f>'Задание 3'!$A$8</c:f>
              <c:strCache>
                <c:ptCount val="1"/>
                <c:pt idx="0">
                  <c:v>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shade val="95000"/>
                </a:schemeClr>
              </a:contourClr>
            </a:sp3d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3'!$B$8:$L$8</c:f>
              <c:numCache>
                <c:formatCode>General</c:formatCode>
                <c:ptCount val="11"/>
                <c:pt idx="0">
                  <c:v>55.25</c:v>
                </c:pt>
                <c:pt idx="1">
                  <c:v>35</c:v>
                </c:pt>
                <c:pt idx="2">
                  <c:v>19.25</c:v>
                </c:pt>
                <c:pt idx="3">
                  <c:v>8</c:v>
                </c:pt>
                <c:pt idx="4">
                  <c:v>1.25</c:v>
                </c:pt>
                <c:pt idx="5">
                  <c:v>-1</c:v>
                </c:pt>
                <c:pt idx="6">
                  <c:v>1.25</c:v>
                </c:pt>
                <c:pt idx="7">
                  <c:v>8</c:v>
                </c:pt>
                <c:pt idx="8">
                  <c:v>19.25</c:v>
                </c:pt>
                <c:pt idx="9">
                  <c:v>35</c:v>
                </c:pt>
                <c:pt idx="10">
                  <c:v>55.25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9BA-49F3-BC6B-48140B1B9D7F}"/>
            </c:ext>
          </c:extLst>
        </c:ser>
        <c:ser>
          <c:idx val="7"/>
          <c:order val="7"/>
          <c:tx>
            <c:strRef>
              <c:f>'Задание 3'!$A$9</c:f>
              <c:strCache>
                <c:ptCount val="1"/>
                <c:pt idx="0">
                  <c:v>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shade val="95000"/>
                </a:schemeClr>
              </a:contourClr>
            </a:sp3d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3'!$B$9:$L$9</c:f>
              <c:numCache>
                <c:formatCode>General</c:formatCode>
                <c:ptCount val="11"/>
                <c:pt idx="0">
                  <c:v>52.25</c:v>
                </c:pt>
                <c:pt idx="1">
                  <c:v>32</c:v>
                </c:pt>
                <c:pt idx="2">
                  <c:v>16.25</c:v>
                </c:pt>
                <c:pt idx="3">
                  <c:v>5</c:v>
                </c:pt>
                <c:pt idx="4">
                  <c:v>-1.75</c:v>
                </c:pt>
                <c:pt idx="5">
                  <c:v>-4</c:v>
                </c:pt>
                <c:pt idx="6">
                  <c:v>-1.75</c:v>
                </c:pt>
                <c:pt idx="7">
                  <c:v>5</c:v>
                </c:pt>
                <c:pt idx="8">
                  <c:v>16.25</c:v>
                </c:pt>
                <c:pt idx="9">
                  <c:v>32</c:v>
                </c:pt>
                <c:pt idx="10">
                  <c:v>52.25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9BA-49F3-BC6B-48140B1B9D7F}"/>
            </c:ext>
          </c:extLst>
        </c:ser>
        <c:ser>
          <c:idx val="8"/>
          <c:order val="8"/>
          <c:tx>
            <c:strRef>
              <c:f>'Задание 3'!$A$10</c:f>
              <c:strCache>
                <c:ptCount val="1"/>
                <c:pt idx="0">
                  <c:v>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shade val="95000"/>
                </a:schemeClr>
              </a:contourClr>
            </a:sp3d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3'!$B$10:$L$10</c:f>
              <c:numCache>
                <c:formatCode>General</c:formatCode>
                <c:ptCount val="11"/>
                <c:pt idx="0">
                  <c:v>47.25</c:v>
                </c:pt>
                <c:pt idx="1">
                  <c:v>27</c:v>
                </c:pt>
                <c:pt idx="2">
                  <c:v>11.25</c:v>
                </c:pt>
                <c:pt idx="3">
                  <c:v>0</c:v>
                </c:pt>
                <c:pt idx="4">
                  <c:v>-6.75</c:v>
                </c:pt>
                <c:pt idx="5">
                  <c:v>-9</c:v>
                </c:pt>
                <c:pt idx="6">
                  <c:v>-6.75</c:v>
                </c:pt>
                <c:pt idx="7">
                  <c:v>0</c:v>
                </c:pt>
                <c:pt idx="8">
                  <c:v>11.25</c:v>
                </c:pt>
                <c:pt idx="9">
                  <c:v>27</c:v>
                </c:pt>
                <c:pt idx="10">
                  <c:v>47.25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9BA-49F3-BC6B-48140B1B9D7F}"/>
            </c:ext>
          </c:extLst>
        </c:ser>
        <c:ser>
          <c:idx val="9"/>
          <c:order val="9"/>
          <c:tx>
            <c:strRef>
              <c:f>'Задание 3'!$A$11</c:f>
              <c:strCache>
                <c:ptCount val="1"/>
                <c:pt idx="0">
                  <c:v>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shade val="95000"/>
                </a:schemeClr>
              </a:contourClr>
            </a:sp3d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3'!$B$11:$L$11</c:f>
              <c:numCache>
                <c:formatCode>General</c:formatCode>
                <c:ptCount val="11"/>
                <c:pt idx="0">
                  <c:v>40.25</c:v>
                </c:pt>
                <c:pt idx="1">
                  <c:v>20</c:v>
                </c:pt>
                <c:pt idx="2">
                  <c:v>4.25</c:v>
                </c:pt>
                <c:pt idx="3">
                  <c:v>-7</c:v>
                </c:pt>
                <c:pt idx="4">
                  <c:v>-13.75</c:v>
                </c:pt>
                <c:pt idx="5">
                  <c:v>-16</c:v>
                </c:pt>
                <c:pt idx="6">
                  <c:v>-13.75</c:v>
                </c:pt>
                <c:pt idx="7">
                  <c:v>-7</c:v>
                </c:pt>
                <c:pt idx="8">
                  <c:v>4.25</c:v>
                </c:pt>
                <c:pt idx="9">
                  <c:v>20</c:v>
                </c:pt>
                <c:pt idx="10">
                  <c:v>40.25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9BA-49F3-BC6B-48140B1B9D7F}"/>
            </c:ext>
          </c:extLst>
        </c:ser>
        <c:ser>
          <c:idx val="10"/>
          <c:order val="10"/>
          <c:tx>
            <c:strRef>
              <c:f>'Задание 3'!$A$12</c:f>
              <c:strCache>
                <c:ptCount val="1"/>
                <c:pt idx="0">
                  <c:v>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shade val="95000"/>
                </a:schemeClr>
              </a:contourClr>
            </a:sp3d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3'!$B$12:$L$12</c:f>
              <c:numCache>
                <c:formatCode>General</c:formatCode>
                <c:ptCount val="11"/>
                <c:pt idx="0">
                  <c:v>31.25</c:v>
                </c:pt>
                <c:pt idx="1">
                  <c:v>11</c:v>
                </c:pt>
                <c:pt idx="2">
                  <c:v>-4.75</c:v>
                </c:pt>
                <c:pt idx="3">
                  <c:v>-16</c:v>
                </c:pt>
                <c:pt idx="4">
                  <c:v>-22.75</c:v>
                </c:pt>
                <c:pt idx="5">
                  <c:v>-25</c:v>
                </c:pt>
                <c:pt idx="6">
                  <c:v>-22.75</c:v>
                </c:pt>
                <c:pt idx="7">
                  <c:v>-16</c:v>
                </c:pt>
                <c:pt idx="8">
                  <c:v>-4.75</c:v>
                </c:pt>
                <c:pt idx="9">
                  <c:v>11</c:v>
                </c:pt>
                <c:pt idx="10">
                  <c:v>31.25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9BA-49F3-BC6B-48140B1B9D7F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95000"/>
                  </a:schemeClr>
                </a:contourClr>
              </a:sp3d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shade val="95000"/>
                  </a:schemeClr>
                </a:contourClr>
              </a:sp3d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shade val="95000"/>
                  </a:schemeClr>
                </a:contourClr>
              </a:sp3d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shade val="95000"/>
                  </a:schemeClr>
                </a:contourClr>
              </a:sp3d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shade val="95000"/>
                  </a:schemeClr>
                </a:contourClr>
              </a:sp3d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shade val="95000"/>
                  </a:schemeClr>
                </a:contourClr>
              </a:sp3d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60000"/>
                    <a:shade val="95000"/>
                  </a:schemeClr>
                </a:contourClr>
              </a:sp3d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60000"/>
                    <a:shade val="95000"/>
                  </a:schemeClr>
                </a:contourClr>
              </a:sp3d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60000"/>
                    <a:shade val="95000"/>
                  </a:schemeClr>
                </a:contourClr>
              </a:sp3d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60000"/>
                    <a:shade val="95000"/>
                  </a:schemeClr>
                </a:contourClr>
              </a:sp3d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60000"/>
                    <a:shade val="95000"/>
                  </a:schemeClr>
                </a:contourClr>
              </a:sp3d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60000"/>
                    <a:shade val="95000"/>
                  </a:schemeClr>
                </a:contourClr>
              </a:sp3d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80000"/>
                    <a:lumOff val="20000"/>
                    <a:shade val="95000"/>
                  </a:schemeClr>
                </a:contourClr>
              </a:sp3d>
            </c:spPr>
          </c:bandFmt>
        </c:bandFmts>
        <c:axId val="519969295"/>
        <c:axId val="519967215"/>
        <c:axId val="486596975"/>
      </c:surface3DChart>
      <c:catAx>
        <c:axId val="51996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9967215"/>
        <c:crosses val="autoZero"/>
        <c:auto val="1"/>
        <c:lblAlgn val="ctr"/>
        <c:lblOffset val="100"/>
        <c:noMultiLvlLbl val="0"/>
      </c:catAx>
      <c:valAx>
        <c:axId val="51996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9969295"/>
        <c:crosses val="autoZero"/>
        <c:crossBetween val="midCat"/>
      </c:valAx>
      <c:serAx>
        <c:axId val="4865969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996721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cap="none" baseline="0">
                <a:solidFill>
                  <a:sysClr val="windowText" lastClr="000000"/>
                </a:solidFill>
              </a:rPr>
              <a:t>Гиперболический параболоид с а=4 и </a:t>
            </a:r>
            <a:r>
              <a:rPr lang="en-US" sz="1400" b="0" i="0" u="none" strike="noStrike" cap="none" baseline="0">
                <a:solidFill>
                  <a:sysClr val="windowText" lastClr="000000"/>
                </a:solidFill>
              </a:rPr>
              <a:t>b</a:t>
            </a:r>
            <a:r>
              <a:rPr lang="ru-RU" sz="1400" b="0" i="0" u="none" strike="noStrike" cap="none" baseline="0">
                <a:solidFill>
                  <a:sysClr val="windowText" lastClr="000000"/>
                </a:solidFill>
              </a:rPr>
              <a:t>=2</a:t>
            </a:r>
            <a:endParaRPr lang="ru-RU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'Задание 3.4'!$A$5</c:f>
              <c:strCache>
                <c:ptCount val="1"/>
                <c:pt idx="0">
                  <c:v>-5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'Задание 3.4'!$B$4:$L$4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3.4'!$B$5:$L$5</c:f>
              <c:numCache>
                <c:formatCode>General</c:formatCode>
                <c:ptCount val="11"/>
                <c:pt idx="0">
                  <c:v>-2.734375</c:v>
                </c:pt>
                <c:pt idx="1">
                  <c:v>-4</c:v>
                </c:pt>
                <c:pt idx="2">
                  <c:v>-4.984375</c:v>
                </c:pt>
                <c:pt idx="3">
                  <c:v>-5.6875</c:v>
                </c:pt>
                <c:pt idx="4">
                  <c:v>-6.109375</c:v>
                </c:pt>
                <c:pt idx="5">
                  <c:v>-6.25</c:v>
                </c:pt>
                <c:pt idx="6">
                  <c:v>-6.109375</c:v>
                </c:pt>
                <c:pt idx="7">
                  <c:v>-5.6875</c:v>
                </c:pt>
                <c:pt idx="8">
                  <c:v>-4.984375</c:v>
                </c:pt>
                <c:pt idx="9">
                  <c:v>-4</c:v>
                </c:pt>
                <c:pt idx="10">
                  <c:v>-2.734375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2-4242-A15D-0FC620E72703}"/>
            </c:ext>
          </c:extLst>
        </c:ser>
        <c:ser>
          <c:idx val="1"/>
          <c:order val="1"/>
          <c:tx>
            <c:strRef>
              <c:f>'Задание 3.4'!$A$6</c:f>
              <c:strCache>
                <c:ptCount val="1"/>
                <c:pt idx="0">
                  <c:v>-4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'Задание 3.4'!$B$4:$L$4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3.4'!$B$6:$L$6</c:f>
              <c:numCache>
                <c:formatCode>General</c:formatCode>
                <c:ptCount val="11"/>
                <c:pt idx="0">
                  <c:v>-0.484375</c:v>
                </c:pt>
                <c:pt idx="1">
                  <c:v>-1.75</c:v>
                </c:pt>
                <c:pt idx="2">
                  <c:v>-2.734375</c:v>
                </c:pt>
                <c:pt idx="3">
                  <c:v>-3.4375</c:v>
                </c:pt>
                <c:pt idx="4">
                  <c:v>-3.859375</c:v>
                </c:pt>
                <c:pt idx="5">
                  <c:v>-4</c:v>
                </c:pt>
                <c:pt idx="6">
                  <c:v>-3.859375</c:v>
                </c:pt>
                <c:pt idx="7">
                  <c:v>-3.4375</c:v>
                </c:pt>
                <c:pt idx="8">
                  <c:v>-2.734375</c:v>
                </c:pt>
                <c:pt idx="9">
                  <c:v>-1.75</c:v>
                </c:pt>
                <c:pt idx="10">
                  <c:v>-0.484375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D2-4242-A15D-0FC620E72703}"/>
            </c:ext>
          </c:extLst>
        </c:ser>
        <c:ser>
          <c:idx val="2"/>
          <c:order val="2"/>
          <c:tx>
            <c:strRef>
              <c:f>'Задание 3.4'!$A$7</c:f>
              <c:strCache>
                <c:ptCount val="1"/>
                <c:pt idx="0">
                  <c:v>-3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'Задание 3.4'!$B$4:$L$4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3.4'!$B$7:$L$7</c:f>
              <c:numCache>
                <c:formatCode>General</c:formatCode>
                <c:ptCount val="11"/>
                <c:pt idx="0">
                  <c:v>1.265625</c:v>
                </c:pt>
                <c:pt idx="1">
                  <c:v>0</c:v>
                </c:pt>
                <c:pt idx="2">
                  <c:v>-0.984375</c:v>
                </c:pt>
                <c:pt idx="3">
                  <c:v>-1.6875</c:v>
                </c:pt>
                <c:pt idx="4">
                  <c:v>-2.109375</c:v>
                </c:pt>
                <c:pt idx="5">
                  <c:v>-2.25</c:v>
                </c:pt>
                <c:pt idx="6">
                  <c:v>-2.109375</c:v>
                </c:pt>
                <c:pt idx="7">
                  <c:v>-1.6875</c:v>
                </c:pt>
                <c:pt idx="8">
                  <c:v>-0.984375</c:v>
                </c:pt>
                <c:pt idx="9">
                  <c:v>0</c:v>
                </c:pt>
                <c:pt idx="10">
                  <c:v>1.265625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D2-4242-A15D-0FC620E72703}"/>
            </c:ext>
          </c:extLst>
        </c:ser>
        <c:ser>
          <c:idx val="3"/>
          <c:order val="3"/>
          <c:tx>
            <c:strRef>
              <c:f>'Задание 3.4'!$A$8</c:f>
              <c:strCache>
                <c:ptCount val="1"/>
                <c:pt idx="0">
                  <c:v>-2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'Задание 3.4'!$B$4:$L$4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3.4'!$B$8:$L$8</c:f>
              <c:numCache>
                <c:formatCode>General</c:formatCode>
                <c:ptCount val="11"/>
                <c:pt idx="0">
                  <c:v>2.515625</c:v>
                </c:pt>
                <c:pt idx="1">
                  <c:v>1.25</c:v>
                </c:pt>
                <c:pt idx="2">
                  <c:v>0.265625</c:v>
                </c:pt>
                <c:pt idx="3">
                  <c:v>-0.4375</c:v>
                </c:pt>
                <c:pt idx="4">
                  <c:v>-0.859375</c:v>
                </c:pt>
                <c:pt idx="5">
                  <c:v>-1</c:v>
                </c:pt>
                <c:pt idx="6">
                  <c:v>-0.859375</c:v>
                </c:pt>
                <c:pt idx="7">
                  <c:v>-0.4375</c:v>
                </c:pt>
                <c:pt idx="8">
                  <c:v>0.265625</c:v>
                </c:pt>
                <c:pt idx="9">
                  <c:v>1.25</c:v>
                </c:pt>
                <c:pt idx="10">
                  <c:v>2.515625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D2-4242-A15D-0FC620E72703}"/>
            </c:ext>
          </c:extLst>
        </c:ser>
        <c:ser>
          <c:idx val="4"/>
          <c:order val="4"/>
          <c:tx>
            <c:strRef>
              <c:f>'Задание 3.4'!$A$9</c:f>
              <c:strCache>
                <c:ptCount val="1"/>
                <c:pt idx="0">
                  <c:v>-1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95000"/>
                </a:schemeClr>
              </a:contourClr>
            </a:sp3d>
          </c:spPr>
          <c:cat>
            <c:numRef>
              <c:f>'Задание 3.4'!$B$4:$L$4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3.4'!$B$9:$L$9</c:f>
              <c:numCache>
                <c:formatCode>General</c:formatCode>
                <c:ptCount val="11"/>
                <c:pt idx="0">
                  <c:v>3.265625</c:v>
                </c:pt>
                <c:pt idx="1">
                  <c:v>2</c:v>
                </c:pt>
                <c:pt idx="2">
                  <c:v>1.015625</c:v>
                </c:pt>
                <c:pt idx="3">
                  <c:v>0.3125</c:v>
                </c:pt>
                <c:pt idx="4">
                  <c:v>-0.109375</c:v>
                </c:pt>
                <c:pt idx="5">
                  <c:v>-0.25</c:v>
                </c:pt>
                <c:pt idx="6">
                  <c:v>-0.109375</c:v>
                </c:pt>
                <c:pt idx="7">
                  <c:v>0.3125</c:v>
                </c:pt>
                <c:pt idx="8">
                  <c:v>1.015625</c:v>
                </c:pt>
                <c:pt idx="9">
                  <c:v>2</c:v>
                </c:pt>
                <c:pt idx="10">
                  <c:v>3.265625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D2-4242-A15D-0FC620E72703}"/>
            </c:ext>
          </c:extLst>
        </c:ser>
        <c:ser>
          <c:idx val="5"/>
          <c:order val="5"/>
          <c:tx>
            <c:strRef>
              <c:f>'Задание 3.4'!$A$10</c:f>
              <c:strCache>
                <c:ptCount val="1"/>
                <c:pt idx="0">
                  <c:v>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cat>
            <c:numRef>
              <c:f>'Задание 3.4'!$B$4:$L$4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3.4'!$B$10:$L$10</c:f>
              <c:numCache>
                <c:formatCode>General</c:formatCode>
                <c:ptCount val="11"/>
                <c:pt idx="0">
                  <c:v>3.515625</c:v>
                </c:pt>
                <c:pt idx="1">
                  <c:v>2.25</c:v>
                </c:pt>
                <c:pt idx="2">
                  <c:v>1.265625</c:v>
                </c:pt>
                <c:pt idx="3">
                  <c:v>0.5625</c:v>
                </c:pt>
                <c:pt idx="4">
                  <c:v>0.140625</c:v>
                </c:pt>
                <c:pt idx="5">
                  <c:v>0</c:v>
                </c:pt>
                <c:pt idx="6">
                  <c:v>0.140625</c:v>
                </c:pt>
                <c:pt idx="7">
                  <c:v>0.5625</c:v>
                </c:pt>
                <c:pt idx="8">
                  <c:v>1.265625</c:v>
                </c:pt>
                <c:pt idx="9">
                  <c:v>2.25</c:v>
                </c:pt>
                <c:pt idx="10">
                  <c:v>3.515625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1D2-4242-A15D-0FC620E72703}"/>
            </c:ext>
          </c:extLst>
        </c:ser>
        <c:ser>
          <c:idx val="6"/>
          <c:order val="6"/>
          <c:tx>
            <c:strRef>
              <c:f>'Задание 3.4'!$A$11</c:f>
              <c:strCache>
                <c:ptCount val="1"/>
                <c:pt idx="0">
                  <c:v>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shade val="95000"/>
                </a:schemeClr>
              </a:contourClr>
            </a:sp3d>
          </c:spPr>
          <c:cat>
            <c:numRef>
              <c:f>'Задание 3.4'!$B$4:$L$4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3.4'!$B$11:$L$11</c:f>
              <c:numCache>
                <c:formatCode>General</c:formatCode>
                <c:ptCount val="11"/>
                <c:pt idx="0">
                  <c:v>3.265625</c:v>
                </c:pt>
                <c:pt idx="1">
                  <c:v>2</c:v>
                </c:pt>
                <c:pt idx="2">
                  <c:v>1.015625</c:v>
                </c:pt>
                <c:pt idx="3">
                  <c:v>0.3125</c:v>
                </c:pt>
                <c:pt idx="4">
                  <c:v>-0.109375</c:v>
                </c:pt>
                <c:pt idx="5">
                  <c:v>-0.25</c:v>
                </c:pt>
                <c:pt idx="6">
                  <c:v>-0.109375</c:v>
                </c:pt>
                <c:pt idx="7">
                  <c:v>0.3125</c:v>
                </c:pt>
                <c:pt idx="8">
                  <c:v>1.015625</c:v>
                </c:pt>
                <c:pt idx="9">
                  <c:v>2</c:v>
                </c:pt>
                <c:pt idx="10">
                  <c:v>3.265625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D2-4242-A15D-0FC620E72703}"/>
            </c:ext>
          </c:extLst>
        </c:ser>
        <c:ser>
          <c:idx val="7"/>
          <c:order val="7"/>
          <c:tx>
            <c:strRef>
              <c:f>'Задание 3.4'!$A$12</c:f>
              <c:strCache>
                <c:ptCount val="1"/>
                <c:pt idx="0">
                  <c:v>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shade val="95000"/>
                </a:schemeClr>
              </a:contourClr>
            </a:sp3d>
          </c:spPr>
          <c:cat>
            <c:numRef>
              <c:f>'Задание 3.4'!$B$4:$L$4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3.4'!$B$12:$L$12</c:f>
              <c:numCache>
                <c:formatCode>General</c:formatCode>
                <c:ptCount val="11"/>
                <c:pt idx="0">
                  <c:v>2.515625</c:v>
                </c:pt>
                <c:pt idx="1">
                  <c:v>1.25</c:v>
                </c:pt>
                <c:pt idx="2">
                  <c:v>0.265625</c:v>
                </c:pt>
                <c:pt idx="3">
                  <c:v>-0.4375</c:v>
                </c:pt>
                <c:pt idx="4">
                  <c:v>-0.859375</c:v>
                </c:pt>
                <c:pt idx="5">
                  <c:v>-1</c:v>
                </c:pt>
                <c:pt idx="6">
                  <c:v>-0.859375</c:v>
                </c:pt>
                <c:pt idx="7">
                  <c:v>-0.4375</c:v>
                </c:pt>
                <c:pt idx="8">
                  <c:v>0.265625</c:v>
                </c:pt>
                <c:pt idx="9">
                  <c:v>1.25</c:v>
                </c:pt>
                <c:pt idx="10">
                  <c:v>2.515625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1D2-4242-A15D-0FC620E72703}"/>
            </c:ext>
          </c:extLst>
        </c:ser>
        <c:ser>
          <c:idx val="8"/>
          <c:order val="8"/>
          <c:tx>
            <c:strRef>
              <c:f>'Задание 3.4'!$A$13</c:f>
              <c:strCache>
                <c:ptCount val="1"/>
                <c:pt idx="0">
                  <c:v>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shade val="95000"/>
                </a:schemeClr>
              </a:contourClr>
            </a:sp3d>
          </c:spPr>
          <c:cat>
            <c:numRef>
              <c:f>'Задание 3.4'!$B$4:$L$4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3.4'!$B$13:$L$13</c:f>
              <c:numCache>
                <c:formatCode>General</c:formatCode>
                <c:ptCount val="11"/>
                <c:pt idx="0">
                  <c:v>1.265625</c:v>
                </c:pt>
                <c:pt idx="1">
                  <c:v>0</c:v>
                </c:pt>
                <c:pt idx="2">
                  <c:v>-0.984375</c:v>
                </c:pt>
                <c:pt idx="3">
                  <c:v>-1.6875</c:v>
                </c:pt>
                <c:pt idx="4">
                  <c:v>-2.109375</c:v>
                </c:pt>
                <c:pt idx="5">
                  <c:v>-2.25</c:v>
                </c:pt>
                <c:pt idx="6">
                  <c:v>-2.109375</c:v>
                </c:pt>
                <c:pt idx="7">
                  <c:v>-1.6875</c:v>
                </c:pt>
                <c:pt idx="8">
                  <c:v>-0.984375</c:v>
                </c:pt>
                <c:pt idx="9">
                  <c:v>0</c:v>
                </c:pt>
                <c:pt idx="10">
                  <c:v>1.265625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1D2-4242-A15D-0FC620E72703}"/>
            </c:ext>
          </c:extLst>
        </c:ser>
        <c:ser>
          <c:idx val="9"/>
          <c:order val="9"/>
          <c:tx>
            <c:strRef>
              <c:f>'Задание 3.4'!$A$14</c:f>
              <c:strCache>
                <c:ptCount val="1"/>
                <c:pt idx="0">
                  <c:v>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shade val="95000"/>
                </a:schemeClr>
              </a:contourClr>
            </a:sp3d>
          </c:spPr>
          <c:cat>
            <c:numRef>
              <c:f>'Задание 3.4'!$B$4:$L$4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3.4'!$B$14:$L$14</c:f>
              <c:numCache>
                <c:formatCode>General</c:formatCode>
                <c:ptCount val="11"/>
                <c:pt idx="0">
                  <c:v>-0.484375</c:v>
                </c:pt>
                <c:pt idx="1">
                  <c:v>-1.75</c:v>
                </c:pt>
                <c:pt idx="2">
                  <c:v>-2.734375</c:v>
                </c:pt>
                <c:pt idx="3">
                  <c:v>-3.4375</c:v>
                </c:pt>
                <c:pt idx="4">
                  <c:v>-3.859375</c:v>
                </c:pt>
                <c:pt idx="5">
                  <c:v>-4</c:v>
                </c:pt>
                <c:pt idx="6">
                  <c:v>-3.859375</c:v>
                </c:pt>
                <c:pt idx="7">
                  <c:v>-3.4375</c:v>
                </c:pt>
                <c:pt idx="8">
                  <c:v>-2.734375</c:v>
                </c:pt>
                <c:pt idx="9">
                  <c:v>-1.75</c:v>
                </c:pt>
                <c:pt idx="10">
                  <c:v>-0.484375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1D2-4242-A15D-0FC620E72703}"/>
            </c:ext>
          </c:extLst>
        </c:ser>
        <c:ser>
          <c:idx val="10"/>
          <c:order val="10"/>
          <c:tx>
            <c:strRef>
              <c:f>'Задание 3.4'!$A$15</c:f>
              <c:strCache>
                <c:ptCount val="1"/>
                <c:pt idx="0">
                  <c:v>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shade val="95000"/>
                </a:schemeClr>
              </a:contourClr>
            </a:sp3d>
          </c:spPr>
          <c:cat>
            <c:numRef>
              <c:f>'Задание 3.4'!$B$4:$L$4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3.4'!$B$15:$L$15</c:f>
              <c:numCache>
                <c:formatCode>General</c:formatCode>
                <c:ptCount val="11"/>
                <c:pt idx="0">
                  <c:v>-2.734375</c:v>
                </c:pt>
                <c:pt idx="1">
                  <c:v>-4</c:v>
                </c:pt>
                <c:pt idx="2">
                  <c:v>-4.984375</c:v>
                </c:pt>
                <c:pt idx="3">
                  <c:v>-5.6875</c:v>
                </c:pt>
                <c:pt idx="4">
                  <c:v>-6.109375</c:v>
                </c:pt>
                <c:pt idx="5">
                  <c:v>-6.25</c:v>
                </c:pt>
                <c:pt idx="6">
                  <c:v>-6.109375</c:v>
                </c:pt>
                <c:pt idx="7">
                  <c:v>-5.6875</c:v>
                </c:pt>
                <c:pt idx="8">
                  <c:v>-4.984375</c:v>
                </c:pt>
                <c:pt idx="9">
                  <c:v>-4</c:v>
                </c:pt>
                <c:pt idx="10">
                  <c:v>-2.734375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1D2-4242-A15D-0FC620E72703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95000"/>
                  </a:schemeClr>
                </a:contourClr>
              </a:sp3d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shade val="95000"/>
                  </a:schemeClr>
                </a:contourClr>
              </a:sp3d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shade val="95000"/>
                  </a:schemeClr>
                </a:contourClr>
              </a:sp3d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shade val="95000"/>
                  </a:schemeClr>
                </a:contourClr>
              </a:sp3d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shade val="95000"/>
                  </a:schemeClr>
                </a:contourClr>
              </a:sp3d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shade val="95000"/>
                  </a:schemeClr>
                </a:contourClr>
              </a:sp3d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60000"/>
                    <a:shade val="95000"/>
                  </a:schemeClr>
                </a:contourClr>
              </a:sp3d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60000"/>
                    <a:shade val="95000"/>
                  </a:schemeClr>
                </a:contourClr>
              </a:sp3d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60000"/>
                    <a:shade val="95000"/>
                  </a:schemeClr>
                </a:contourClr>
              </a:sp3d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60000"/>
                    <a:shade val="95000"/>
                  </a:schemeClr>
                </a:contourClr>
              </a:sp3d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60000"/>
                    <a:shade val="95000"/>
                  </a:schemeClr>
                </a:contourClr>
              </a:sp3d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60000"/>
                    <a:shade val="95000"/>
                  </a:schemeClr>
                </a:contourClr>
              </a:sp3d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80000"/>
                    <a:lumOff val="20000"/>
                    <a:shade val="95000"/>
                  </a:schemeClr>
                </a:contourClr>
              </a:sp3d>
            </c:spPr>
          </c:bandFmt>
        </c:bandFmts>
        <c:axId val="514376399"/>
        <c:axId val="514377231"/>
        <c:axId val="662381439"/>
      </c:surface3DChart>
      <c:catAx>
        <c:axId val="514376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4377231"/>
        <c:crosses val="autoZero"/>
        <c:auto val="1"/>
        <c:lblAlgn val="ctr"/>
        <c:lblOffset val="100"/>
        <c:noMultiLvlLbl val="0"/>
      </c:catAx>
      <c:valAx>
        <c:axId val="51437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4376399"/>
        <c:crosses val="autoZero"/>
        <c:crossBetween val="midCat"/>
      </c:valAx>
      <c:serAx>
        <c:axId val="6623814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4377231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137160</xdr:colOff>
      <xdr:row>6</xdr:row>
      <xdr:rowOff>179069</xdr:rowOff>
    </xdr:from>
    <xdr:to>
      <xdr:col>9</xdr:col>
      <xdr:colOff>33660</xdr:colOff>
      <xdr:row>24</xdr:row>
      <xdr:rowOff>24269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FA49227-C104-78AF-66DB-30D464CD75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312420</xdr:colOff>
      <xdr:row>8</xdr:row>
      <xdr:rowOff>3810</xdr:rowOff>
    </xdr:from>
    <xdr:to>
      <xdr:col>9</xdr:col>
      <xdr:colOff>208920</xdr:colOff>
      <xdr:row>25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CAB920E-A05A-243C-93C9-2EB6CAC83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320040</xdr:colOff>
      <xdr:row>32</xdr:row>
      <xdr:rowOff>0</xdr:rowOff>
    </xdr:from>
    <xdr:to>
      <xdr:col>9</xdr:col>
      <xdr:colOff>216540</xdr:colOff>
      <xdr:row>49</xdr:row>
      <xdr:rowOff>73800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9AF6814-CB35-4756-B3D6-DC5EEE1E9C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327660</xdr:colOff>
      <xdr:row>58</xdr:row>
      <xdr:rowOff>7620</xdr:rowOff>
    </xdr:from>
    <xdr:to>
      <xdr:col>9</xdr:col>
      <xdr:colOff>224160</xdr:colOff>
      <xdr:row>75</xdr:row>
      <xdr:rowOff>81420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6B58E099-9543-4517-BE2D-82E9ED2C50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342900</xdr:colOff>
      <xdr:row>82</xdr:row>
      <xdr:rowOff>0</xdr:rowOff>
    </xdr:from>
    <xdr:to>
      <xdr:col>9</xdr:col>
      <xdr:colOff>239400</xdr:colOff>
      <xdr:row>99</xdr:row>
      <xdr:rowOff>73800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4931DB6-CE14-43FE-8FE8-04BFB45BD6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365760</xdr:colOff>
      <xdr:row>106</xdr:row>
      <xdr:rowOff>0</xdr:rowOff>
    </xdr:from>
    <xdr:to>
      <xdr:col>9</xdr:col>
      <xdr:colOff>262260</xdr:colOff>
      <xdr:row>123</xdr:row>
      <xdr:rowOff>73800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63F78461-08FD-4FC3-BE2C-2B0B4DAE11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381000</xdr:colOff>
      <xdr:row>128</xdr:row>
      <xdr:rowOff>220980</xdr:rowOff>
    </xdr:from>
    <xdr:to>
      <xdr:col>9</xdr:col>
      <xdr:colOff>277500</xdr:colOff>
      <xdr:row>146</xdr:row>
      <xdr:rowOff>66180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630E754C-7976-4E2C-BE68-16939ADABF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525780</xdr:colOff>
      <xdr:row>12</xdr:row>
      <xdr:rowOff>171450</xdr:rowOff>
    </xdr:from>
    <xdr:to>
      <xdr:col>10</xdr:col>
      <xdr:colOff>422280</xdr:colOff>
      <xdr:row>30</xdr:row>
      <xdr:rowOff>16650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8A29E09-445C-3501-FC11-3A0F89EC11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312420</xdr:colOff>
      <xdr:row>16</xdr:row>
      <xdr:rowOff>41910</xdr:rowOff>
    </xdr:from>
    <xdr:to>
      <xdr:col>9</xdr:col>
      <xdr:colOff>513720</xdr:colOff>
      <xdr:row>33</xdr:row>
      <xdr:rowOff>115710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03E6985-09D4-481A-B02C-D5328DF90A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zoomScaleNormal="100" zoomScalePageLayoutView="120" workbookViewId="0">
      <selection activeCell="L10" sqref="L10"/>
    </sheetView>
  </sheetViews>
  <sheetFormatPr defaultColWidth="8.33203125" defaultRowHeight="18" x14ac:dyDescent="0.35"/>
  <cols>
    <col min="1" max="16384" width="8.33203125" style="1"/>
  </cols>
  <sheetData>
    <row r="1" spans="1:8" x14ac:dyDescent="0.35">
      <c r="A1" s="2" t="s">
        <v>0</v>
      </c>
      <c r="B1" s="3">
        <v>4</v>
      </c>
    </row>
    <row r="2" spans="1:8" x14ac:dyDescent="0.35">
      <c r="A2" s="2" t="s">
        <v>1</v>
      </c>
      <c r="B2" s="3">
        <v>3</v>
      </c>
    </row>
    <row r="4" spans="1:8" x14ac:dyDescent="0.35">
      <c r="A4" s="12" t="s">
        <v>2</v>
      </c>
      <c r="B4" s="3">
        <v>-3</v>
      </c>
      <c r="C4" s="3">
        <v>-2</v>
      </c>
      <c r="D4" s="3">
        <v>-1</v>
      </c>
      <c r="E4" s="3">
        <v>0</v>
      </c>
      <c r="F4" s="3">
        <v>1</v>
      </c>
      <c r="G4" s="3">
        <v>2</v>
      </c>
      <c r="H4" s="3">
        <v>3</v>
      </c>
    </row>
    <row r="5" spans="1:8" x14ac:dyDescent="0.35">
      <c r="A5" s="12" t="s">
        <v>3</v>
      </c>
      <c r="B5" s="3">
        <f>$B$1*B4+$B$2</f>
        <v>-9</v>
      </c>
      <c r="C5" s="3">
        <f t="shared" ref="C5:H5" si="0">$B$1*C4+$B$2</f>
        <v>-5</v>
      </c>
      <c r="D5" s="3">
        <f t="shared" si="0"/>
        <v>-1</v>
      </c>
      <c r="E5" s="3">
        <f t="shared" si="0"/>
        <v>3</v>
      </c>
      <c r="F5" s="3">
        <f t="shared" si="0"/>
        <v>7</v>
      </c>
      <c r="G5" s="3">
        <f t="shared" si="0"/>
        <v>11</v>
      </c>
      <c r="H5" s="3">
        <f t="shared" si="0"/>
        <v>15</v>
      </c>
    </row>
  </sheetData>
  <pageMargins left="0.7" right="0.7" top="0.75" bottom="0.75" header="0.3" footer="0.3"/>
  <pageSetup paperSize="9" orientation="portrait" r:id="rId1"/>
  <headerFooter>
    <oddHeader>&amp;CГумирова Алена Альбертовна 
2 подгруппа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D7EA8-7E39-460F-AEDD-175315FE2AF2}">
  <dimension ref="A1:P128"/>
  <sheetViews>
    <sheetView topLeftCell="A133" zoomScaleNormal="100" workbookViewId="0">
      <selection activeCell="E151" sqref="E151"/>
    </sheetView>
  </sheetViews>
  <sheetFormatPr defaultColWidth="8.33203125" defaultRowHeight="18" x14ac:dyDescent="0.35"/>
  <cols>
    <col min="1" max="16384" width="8.33203125" style="4"/>
  </cols>
  <sheetData>
    <row r="1" spans="1:8" x14ac:dyDescent="0.35">
      <c r="A1" s="17" t="s">
        <v>6</v>
      </c>
      <c r="B1" s="18"/>
    </row>
    <row r="2" spans="1:8" x14ac:dyDescent="0.35">
      <c r="A2" s="15"/>
      <c r="B2" s="16"/>
    </row>
    <row r="3" spans="1:8" x14ac:dyDescent="0.35">
      <c r="A3" s="5" t="s">
        <v>0</v>
      </c>
      <c r="B3" s="6">
        <v>2</v>
      </c>
    </row>
    <row r="4" spans="1:8" x14ac:dyDescent="0.35">
      <c r="A4" s="5" t="s">
        <v>4</v>
      </c>
      <c r="B4" s="6">
        <v>3</v>
      </c>
    </row>
    <row r="6" spans="1:8" x14ac:dyDescent="0.35">
      <c r="A6" s="5" t="s">
        <v>2</v>
      </c>
      <c r="B6" s="6">
        <v>-5</v>
      </c>
      <c r="C6" s="6">
        <v>-3</v>
      </c>
      <c r="D6" s="6">
        <v>-1</v>
      </c>
      <c r="E6" s="6">
        <v>1</v>
      </c>
      <c r="F6" s="6">
        <v>3</v>
      </c>
      <c r="G6" s="6">
        <v>5</v>
      </c>
      <c r="H6" s="6">
        <v>7</v>
      </c>
    </row>
    <row r="7" spans="1:8" x14ac:dyDescent="0.35">
      <c r="A7" s="5" t="s">
        <v>3</v>
      </c>
      <c r="B7" s="6">
        <f>POWER($B$3,B6)+$B$4</f>
        <v>3.03125</v>
      </c>
      <c r="C7" s="6">
        <f>POWER($B$3,C6)+$B$4</f>
        <v>3.125</v>
      </c>
      <c r="D7" s="6">
        <f>POWER($B$3,D6)+$B$4</f>
        <v>3.5</v>
      </c>
      <c r="E7" s="6">
        <f>POWER($B$3,E6)+$B$4</f>
        <v>5</v>
      </c>
      <c r="F7" s="6">
        <f>POWER($B$3,F6)+$B$4</f>
        <v>11</v>
      </c>
      <c r="G7" s="6">
        <f>POWER($B$3,G6)+$B$4</f>
        <v>35</v>
      </c>
      <c r="H7" s="6">
        <f>POWER($B$3,H6)+$B$4</f>
        <v>131</v>
      </c>
    </row>
    <row r="28" spans="1:8" x14ac:dyDescent="0.35">
      <c r="A28" s="13" t="s">
        <v>7</v>
      </c>
      <c r="B28" s="14"/>
    </row>
    <row r="30" spans="1:8" x14ac:dyDescent="0.35">
      <c r="A30" s="5" t="s">
        <v>2</v>
      </c>
      <c r="B30" s="6">
        <v>1</v>
      </c>
      <c r="C30" s="6">
        <v>4</v>
      </c>
      <c r="D30" s="6">
        <v>9</v>
      </c>
      <c r="E30" s="6">
        <v>16</v>
      </c>
      <c r="F30" s="6">
        <v>25</v>
      </c>
      <c r="G30" s="6">
        <v>36</v>
      </c>
      <c r="H30" s="6">
        <v>49</v>
      </c>
    </row>
    <row r="31" spans="1:8" x14ac:dyDescent="0.35">
      <c r="A31" s="5" t="s">
        <v>3</v>
      </c>
      <c r="B31" s="6">
        <f>SQRT(B30)</f>
        <v>1</v>
      </c>
      <c r="C31" s="6">
        <f>SQRT(C30)</f>
        <v>2</v>
      </c>
      <c r="D31" s="6">
        <f>SQRT(D30)</f>
        <v>3</v>
      </c>
      <c r="E31" s="6">
        <f>SQRT(E30)</f>
        <v>4</v>
      </c>
      <c r="F31" s="6">
        <f>SQRT(F30)</f>
        <v>5</v>
      </c>
      <c r="G31" s="6">
        <f>SQRT(G30)</f>
        <v>6</v>
      </c>
      <c r="H31" s="6">
        <f>SQRT(H30)</f>
        <v>7</v>
      </c>
    </row>
    <row r="52" spans="1:10" x14ac:dyDescent="0.35">
      <c r="A52" s="13" t="s">
        <v>8</v>
      </c>
      <c r="B52" s="14"/>
    </row>
    <row r="54" spans="1:10" x14ac:dyDescent="0.35">
      <c r="A54" s="5" t="s">
        <v>0</v>
      </c>
      <c r="B54" s="6">
        <v>7</v>
      </c>
    </row>
    <row r="56" spans="1:10" x14ac:dyDescent="0.35">
      <c r="A56" s="5" t="s">
        <v>2</v>
      </c>
      <c r="B56" s="6">
        <v>-8</v>
      </c>
      <c r="C56" s="6">
        <v>-6</v>
      </c>
      <c r="D56" s="6">
        <v>-4</v>
      </c>
      <c r="E56" s="6">
        <v>-2</v>
      </c>
      <c r="F56" s="6">
        <v>0</v>
      </c>
      <c r="G56" s="6">
        <v>2</v>
      </c>
      <c r="H56" s="6">
        <v>4</v>
      </c>
      <c r="I56" s="6">
        <v>6</v>
      </c>
      <c r="J56" s="6">
        <v>8</v>
      </c>
    </row>
    <row r="57" spans="1:10" x14ac:dyDescent="0.35">
      <c r="A57" s="5" t="s">
        <v>3</v>
      </c>
      <c r="B57" s="6">
        <f>$B$54-ABS(B56)</f>
        <v>-1</v>
      </c>
      <c r="C57" s="6">
        <f>$B$54-ABS(C56)</f>
        <v>1</v>
      </c>
      <c r="D57" s="6">
        <f>$B$54-ABS(D56)</f>
        <v>3</v>
      </c>
      <c r="E57" s="6">
        <f>$B$54-ABS(E56)</f>
        <v>5</v>
      </c>
      <c r="F57" s="6">
        <f>$B$54-ABS(F56)</f>
        <v>7</v>
      </c>
      <c r="G57" s="6">
        <f>$B$54-ABS(G56)</f>
        <v>5</v>
      </c>
      <c r="H57" s="6">
        <f>$B$54-ABS(H56)</f>
        <v>3</v>
      </c>
      <c r="I57" s="6">
        <f>$B$54-ABS(I56)</f>
        <v>1</v>
      </c>
      <c r="J57" s="6">
        <f>$B$54-ABS(J56)</f>
        <v>-1</v>
      </c>
    </row>
    <row r="78" spans="1:16" x14ac:dyDescent="0.35">
      <c r="A78" s="13" t="s">
        <v>9</v>
      </c>
      <c r="B78" s="14"/>
    </row>
    <row r="80" spans="1:16" x14ac:dyDescent="0.35">
      <c r="A80" s="2" t="s">
        <v>2</v>
      </c>
      <c r="B80" s="3">
        <v>-3</v>
      </c>
      <c r="C80" s="3">
        <v>-2.5</v>
      </c>
      <c r="D80" s="3">
        <v>-2</v>
      </c>
      <c r="E80" s="3">
        <v>-1.25</v>
      </c>
      <c r="F80" s="3">
        <v>-1</v>
      </c>
      <c r="G80" s="3">
        <v>-0.5</v>
      </c>
      <c r="H80" s="3">
        <v>-0.25</v>
      </c>
      <c r="I80" s="3"/>
      <c r="J80" s="3">
        <v>0.25</v>
      </c>
      <c r="K80" s="3">
        <v>0.5</v>
      </c>
      <c r="L80" s="3">
        <v>1</v>
      </c>
      <c r="M80" s="3">
        <v>1.25</v>
      </c>
      <c r="N80" s="3">
        <v>2</v>
      </c>
      <c r="O80" s="3">
        <v>2.5</v>
      </c>
      <c r="P80" s="3">
        <v>3</v>
      </c>
    </row>
    <row r="81" spans="1:16" x14ac:dyDescent="0.35">
      <c r="A81" s="2" t="s">
        <v>3</v>
      </c>
      <c r="B81" s="3">
        <f>1/B80</f>
        <v>-0.33333333333333331</v>
      </c>
      <c r="C81" s="3">
        <f>1/C80</f>
        <v>-0.4</v>
      </c>
      <c r="D81" s="3">
        <f>1/D80</f>
        <v>-0.5</v>
      </c>
      <c r="E81" s="3">
        <f>1/E80</f>
        <v>-0.8</v>
      </c>
      <c r="F81" s="3">
        <f>1/F80</f>
        <v>-1</v>
      </c>
      <c r="G81" s="3">
        <f>1/G80</f>
        <v>-2</v>
      </c>
      <c r="H81" s="3">
        <f>1/H80</f>
        <v>-4</v>
      </c>
      <c r="I81" s="3"/>
      <c r="J81" s="3">
        <f>1/J80</f>
        <v>4</v>
      </c>
      <c r="K81" s="3">
        <f>1/K80</f>
        <v>2</v>
      </c>
      <c r="L81" s="3">
        <f>1/L80</f>
        <v>1</v>
      </c>
      <c r="M81" s="3">
        <f>1/M80</f>
        <v>0.8</v>
      </c>
      <c r="N81" s="3">
        <f>1/N80</f>
        <v>0.5</v>
      </c>
      <c r="O81" s="3">
        <f>1/O80</f>
        <v>0.4</v>
      </c>
      <c r="P81" s="3">
        <f>1/P80</f>
        <v>0.33333333333333331</v>
      </c>
    </row>
    <row r="102" spans="1:8" x14ac:dyDescent="0.35">
      <c r="A102" s="13" t="s">
        <v>10</v>
      </c>
      <c r="B102" s="14"/>
    </row>
    <row r="104" spans="1:8" x14ac:dyDescent="0.35">
      <c r="A104" s="2" t="s">
        <v>2</v>
      </c>
      <c r="B104" s="3">
        <v>0.25</v>
      </c>
      <c r="C104" s="3">
        <v>0.5</v>
      </c>
      <c r="D104" s="3">
        <v>1</v>
      </c>
      <c r="E104" s="3">
        <v>1.5</v>
      </c>
      <c r="F104" s="3">
        <v>2</v>
      </c>
      <c r="G104" s="3">
        <v>2.5</v>
      </c>
      <c r="H104" s="3">
        <v>3</v>
      </c>
    </row>
    <row r="105" spans="1:8" x14ac:dyDescent="0.35">
      <c r="A105" s="2" t="s">
        <v>3</v>
      </c>
      <c r="B105" s="3">
        <f>LN(B104)</f>
        <v>-1.3862943611198906</v>
      </c>
      <c r="C105" s="3">
        <f>LN(C104)</f>
        <v>-0.69314718055994529</v>
      </c>
      <c r="D105" s="3">
        <f>LN(D104)</f>
        <v>0</v>
      </c>
      <c r="E105" s="3">
        <f>LN(E104)</f>
        <v>0.40546510810816438</v>
      </c>
      <c r="F105" s="3">
        <f>LN(F104)</f>
        <v>0.69314718055994529</v>
      </c>
      <c r="G105" s="3">
        <f>LN(G104)</f>
        <v>0.91629073187415511</v>
      </c>
      <c r="H105" s="3">
        <f>LN(H104)</f>
        <v>1.0986122886681098</v>
      </c>
    </row>
    <row r="126" spans="1:8" x14ac:dyDescent="0.35">
      <c r="A126" s="13" t="s">
        <v>11</v>
      </c>
      <c r="B126" s="14"/>
    </row>
    <row r="128" spans="1:8" x14ac:dyDescent="0.35">
      <c r="A128" s="2" t="s">
        <v>3</v>
      </c>
      <c r="B128" s="3">
        <f>LN(5)</f>
        <v>1.6094379124341003</v>
      </c>
      <c r="C128" s="3">
        <f>LN(5)</f>
        <v>1.6094379124341003</v>
      </c>
      <c r="D128" s="3">
        <f>LN(5)</f>
        <v>1.6094379124341003</v>
      </c>
      <c r="E128" s="3">
        <f>LN(5)</f>
        <v>1.6094379124341003</v>
      </c>
      <c r="F128" s="3">
        <f>LN(5)</f>
        <v>1.6094379124341003</v>
      </c>
      <c r="G128" s="3">
        <f>LN(5)</f>
        <v>1.6094379124341003</v>
      </c>
      <c r="H128" s="3">
        <f>LN(5)</f>
        <v>1.6094379124341003</v>
      </c>
    </row>
  </sheetData>
  <mergeCells count="6">
    <mergeCell ref="A1:B1"/>
    <mergeCell ref="A28:B28"/>
    <mergeCell ref="A52:B52"/>
    <mergeCell ref="A78:B78"/>
    <mergeCell ref="A102:B102"/>
    <mergeCell ref="A126:B126"/>
  </mergeCells>
  <pageMargins left="0.7" right="0.7" top="0.75" bottom="0.75" header="0.3" footer="0.3"/>
  <pageSetup paperSize="9" orientation="portrait" r:id="rId1"/>
  <headerFooter>
    <oddHeader>&amp;CГумирова Алена Альбертовна
2 подгруппа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9BAD3-E9BE-4738-A1A4-7D89A72DCDC6}">
  <dimension ref="A1:L12"/>
  <sheetViews>
    <sheetView zoomScaleNormal="100" workbookViewId="0">
      <selection activeCell="N15" sqref="N15"/>
    </sheetView>
  </sheetViews>
  <sheetFormatPr defaultColWidth="8.33203125" defaultRowHeight="18" x14ac:dyDescent="0.3"/>
  <cols>
    <col min="1" max="16384" width="8.33203125" style="7"/>
  </cols>
  <sheetData>
    <row r="1" spans="1:12" x14ac:dyDescent="0.3">
      <c r="A1" s="8"/>
      <c r="B1" s="9">
        <v>-7.5</v>
      </c>
      <c r="C1" s="9">
        <v>-6</v>
      </c>
      <c r="D1" s="9">
        <v>-4.5</v>
      </c>
      <c r="E1" s="9">
        <v>-3</v>
      </c>
      <c r="F1" s="9">
        <v>-1.5</v>
      </c>
      <c r="G1" s="9">
        <v>0</v>
      </c>
      <c r="H1" s="9">
        <v>1.5</v>
      </c>
      <c r="I1" s="9">
        <v>3</v>
      </c>
      <c r="J1" s="9">
        <v>4.5</v>
      </c>
      <c r="K1" s="9">
        <v>6</v>
      </c>
      <c r="L1" s="9">
        <v>7.5</v>
      </c>
    </row>
    <row r="2" spans="1:12" x14ac:dyDescent="0.3">
      <c r="A2" s="9">
        <v>-5</v>
      </c>
      <c r="B2" s="8">
        <f>POWER(B$1,2)-POWER($A2,2)</f>
        <v>31.25</v>
      </c>
      <c r="C2" s="8">
        <f t="shared" ref="C2:L12" si="0">POWER(C$1,2)-POWER($A2,2)</f>
        <v>11</v>
      </c>
      <c r="D2" s="8">
        <f t="shared" si="0"/>
        <v>-4.75</v>
      </c>
      <c r="E2" s="8">
        <f t="shared" si="0"/>
        <v>-16</v>
      </c>
      <c r="F2" s="8">
        <f t="shared" si="0"/>
        <v>-22.75</v>
      </c>
      <c r="G2" s="8">
        <f t="shared" si="0"/>
        <v>-25</v>
      </c>
      <c r="H2" s="8">
        <f t="shared" si="0"/>
        <v>-22.75</v>
      </c>
      <c r="I2" s="8">
        <f t="shared" si="0"/>
        <v>-16</v>
      </c>
      <c r="J2" s="8">
        <f t="shared" si="0"/>
        <v>-4.75</v>
      </c>
      <c r="K2" s="8">
        <f t="shared" si="0"/>
        <v>11</v>
      </c>
      <c r="L2" s="8">
        <f t="shared" si="0"/>
        <v>31.25</v>
      </c>
    </row>
    <row r="3" spans="1:12" x14ac:dyDescent="0.3">
      <c r="A3" s="9">
        <v>-4</v>
      </c>
      <c r="B3" s="8">
        <f t="shared" ref="B3:B12" si="1">POWER(B$1,2)-POWER($A3,2)</f>
        <v>40.25</v>
      </c>
      <c r="C3" s="8">
        <f t="shared" si="0"/>
        <v>20</v>
      </c>
      <c r="D3" s="8">
        <f t="shared" si="0"/>
        <v>4.25</v>
      </c>
      <c r="E3" s="8">
        <f t="shared" si="0"/>
        <v>-7</v>
      </c>
      <c r="F3" s="8">
        <f t="shared" si="0"/>
        <v>-13.75</v>
      </c>
      <c r="G3" s="8">
        <f t="shared" si="0"/>
        <v>-16</v>
      </c>
      <c r="H3" s="8">
        <f t="shared" si="0"/>
        <v>-13.75</v>
      </c>
      <c r="I3" s="8">
        <f t="shared" si="0"/>
        <v>-7</v>
      </c>
      <c r="J3" s="8">
        <f t="shared" si="0"/>
        <v>4.25</v>
      </c>
      <c r="K3" s="8">
        <f t="shared" si="0"/>
        <v>20</v>
      </c>
      <c r="L3" s="8">
        <f t="shared" si="0"/>
        <v>40.25</v>
      </c>
    </row>
    <row r="4" spans="1:12" x14ac:dyDescent="0.3">
      <c r="A4" s="9">
        <v>-3</v>
      </c>
      <c r="B4" s="8">
        <f t="shared" si="1"/>
        <v>47.25</v>
      </c>
      <c r="C4" s="8">
        <f t="shared" si="0"/>
        <v>27</v>
      </c>
      <c r="D4" s="8">
        <f t="shared" si="0"/>
        <v>11.25</v>
      </c>
      <c r="E4" s="8">
        <f t="shared" si="0"/>
        <v>0</v>
      </c>
      <c r="F4" s="8">
        <f t="shared" si="0"/>
        <v>-6.75</v>
      </c>
      <c r="G4" s="8">
        <f t="shared" si="0"/>
        <v>-9</v>
      </c>
      <c r="H4" s="8">
        <f t="shared" si="0"/>
        <v>-6.75</v>
      </c>
      <c r="I4" s="8">
        <f t="shared" si="0"/>
        <v>0</v>
      </c>
      <c r="J4" s="8">
        <f t="shared" si="0"/>
        <v>11.25</v>
      </c>
      <c r="K4" s="8">
        <f t="shared" si="0"/>
        <v>27</v>
      </c>
      <c r="L4" s="8">
        <f t="shared" si="0"/>
        <v>47.25</v>
      </c>
    </row>
    <row r="5" spans="1:12" x14ac:dyDescent="0.3">
      <c r="A5" s="9">
        <v>-2</v>
      </c>
      <c r="B5" s="8">
        <f t="shared" si="1"/>
        <v>52.25</v>
      </c>
      <c r="C5" s="8">
        <f t="shared" si="0"/>
        <v>32</v>
      </c>
      <c r="D5" s="8">
        <f t="shared" si="0"/>
        <v>16.25</v>
      </c>
      <c r="E5" s="8">
        <f t="shared" si="0"/>
        <v>5</v>
      </c>
      <c r="F5" s="8">
        <f t="shared" si="0"/>
        <v>-1.75</v>
      </c>
      <c r="G5" s="8">
        <f t="shared" si="0"/>
        <v>-4</v>
      </c>
      <c r="H5" s="8">
        <f t="shared" si="0"/>
        <v>-1.75</v>
      </c>
      <c r="I5" s="8">
        <f t="shared" si="0"/>
        <v>5</v>
      </c>
      <c r="J5" s="8">
        <f t="shared" si="0"/>
        <v>16.25</v>
      </c>
      <c r="K5" s="8">
        <f t="shared" si="0"/>
        <v>32</v>
      </c>
      <c r="L5" s="8">
        <f t="shared" si="0"/>
        <v>52.25</v>
      </c>
    </row>
    <row r="6" spans="1:12" x14ac:dyDescent="0.3">
      <c r="A6" s="9">
        <v>-1</v>
      </c>
      <c r="B6" s="8">
        <f t="shared" si="1"/>
        <v>55.25</v>
      </c>
      <c r="C6" s="8">
        <f t="shared" si="0"/>
        <v>35</v>
      </c>
      <c r="D6" s="8">
        <f t="shared" si="0"/>
        <v>19.25</v>
      </c>
      <c r="E6" s="8">
        <f t="shared" si="0"/>
        <v>8</v>
      </c>
      <c r="F6" s="8">
        <f t="shared" si="0"/>
        <v>1.25</v>
      </c>
      <c r="G6" s="8">
        <f t="shared" si="0"/>
        <v>-1</v>
      </c>
      <c r="H6" s="8">
        <f t="shared" si="0"/>
        <v>1.25</v>
      </c>
      <c r="I6" s="8">
        <f t="shared" si="0"/>
        <v>8</v>
      </c>
      <c r="J6" s="8">
        <f t="shared" si="0"/>
        <v>19.25</v>
      </c>
      <c r="K6" s="8">
        <f t="shared" si="0"/>
        <v>35</v>
      </c>
      <c r="L6" s="8">
        <f t="shared" si="0"/>
        <v>55.25</v>
      </c>
    </row>
    <row r="7" spans="1:12" x14ac:dyDescent="0.3">
      <c r="A7" s="9">
        <v>0</v>
      </c>
      <c r="B7" s="8">
        <f t="shared" si="1"/>
        <v>56.25</v>
      </c>
      <c r="C7" s="8">
        <f t="shared" si="0"/>
        <v>36</v>
      </c>
      <c r="D7" s="8">
        <f t="shared" si="0"/>
        <v>20.25</v>
      </c>
      <c r="E7" s="8">
        <f t="shared" si="0"/>
        <v>9</v>
      </c>
      <c r="F7" s="8">
        <f t="shared" si="0"/>
        <v>2.25</v>
      </c>
      <c r="G7" s="8">
        <f t="shared" si="0"/>
        <v>0</v>
      </c>
      <c r="H7" s="8">
        <f t="shared" si="0"/>
        <v>2.25</v>
      </c>
      <c r="I7" s="8">
        <f t="shared" si="0"/>
        <v>9</v>
      </c>
      <c r="J7" s="8">
        <f t="shared" si="0"/>
        <v>20.25</v>
      </c>
      <c r="K7" s="8">
        <f t="shared" si="0"/>
        <v>36</v>
      </c>
      <c r="L7" s="8">
        <f t="shared" si="0"/>
        <v>56.25</v>
      </c>
    </row>
    <row r="8" spans="1:12" x14ac:dyDescent="0.3">
      <c r="A8" s="9">
        <v>1</v>
      </c>
      <c r="B8" s="8">
        <f t="shared" si="1"/>
        <v>55.25</v>
      </c>
      <c r="C8" s="8">
        <f t="shared" si="0"/>
        <v>35</v>
      </c>
      <c r="D8" s="8">
        <f t="shared" si="0"/>
        <v>19.25</v>
      </c>
      <c r="E8" s="8">
        <f t="shared" si="0"/>
        <v>8</v>
      </c>
      <c r="F8" s="8">
        <f t="shared" si="0"/>
        <v>1.25</v>
      </c>
      <c r="G8" s="8">
        <f t="shared" si="0"/>
        <v>-1</v>
      </c>
      <c r="H8" s="8">
        <f t="shared" si="0"/>
        <v>1.25</v>
      </c>
      <c r="I8" s="8">
        <f t="shared" si="0"/>
        <v>8</v>
      </c>
      <c r="J8" s="8">
        <f t="shared" si="0"/>
        <v>19.25</v>
      </c>
      <c r="K8" s="8">
        <f t="shared" si="0"/>
        <v>35</v>
      </c>
      <c r="L8" s="8">
        <f t="shared" si="0"/>
        <v>55.25</v>
      </c>
    </row>
    <row r="9" spans="1:12" x14ac:dyDescent="0.3">
      <c r="A9" s="9">
        <v>2</v>
      </c>
      <c r="B9" s="8">
        <f t="shared" si="1"/>
        <v>52.25</v>
      </c>
      <c r="C9" s="8">
        <f t="shared" si="0"/>
        <v>32</v>
      </c>
      <c r="D9" s="8">
        <f t="shared" si="0"/>
        <v>16.25</v>
      </c>
      <c r="E9" s="8">
        <f t="shared" si="0"/>
        <v>5</v>
      </c>
      <c r="F9" s="8">
        <f t="shared" si="0"/>
        <v>-1.75</v>
      </c>
      <c r="G9" s="8">
        <f t="shared" si="0"/>
        <v>-4</v>
      </c>
      <c r="H9" s="8">
        <f t="shared" si="0"/>
        <v>-1.75</v>
      </c>
      <c r="I9" s="8">
        <f t="shared" si="0"/>
        <v>5</v>
      </c>
      <c r="J9" s="8">
        <f t="shared" si="0"/>
        <v>16.25</v>
      </c>
      <c r="K9" s="8">
        <f t="shared" si="0"/>
        <v>32</v>
      </c>
      <c r="L9" s="8">
        <f t="shared" si="0"/>
        <v>52.25</v>
      </c>
    </row>
    <row r="10" spans="1:12" x14ac:dyDescent="0.3">
      <c r="A10" s="9">
        <v>3</v>
      </c>
      <c r="B10" s="8">
        <f t="shared" si="1"/>
        <v>47.25</v>
      </c>
      <c r="C10" s="8">
        <f t="shared" si="0"/>
        <v>27</v>
      </c>
      <c r="D10" s="8">
        <f t="shared" si="0"/>
        <v>11.25</v>
      </c>
      <c r="E10" s="8">
        <f t="shared" si="0"/>
        <v>0</v>
      </c>
      <c r="F10" s="8">
        <f t="shared" si="0"/>
        <v>-6.75</v>
      </c>
      <c r="G10" s="8">
        <f t="shared" si="0"/>
        <v>-9</v>
      </c>
      <c r="H10" s="8">
        <f t="shared" si="0"/>
        <v>-6.75</v>
      </c>
      <c r="I10" s="8">
        <f t="shared" si="0"/>
        <v>0</v>
      </c>
      <c r="J10" s="8">
        <f t="shared" si="0"/>
        <v>11.25</v>
      </c>
      <c r="K10" s="8">
        <f t="shared" si="0"/>
        <v>27</v>
      </c>
      <c r="L10" s="8">
        <f t="shared" si="0"/>
        <v>47.25</v>
      </c>
    </row>
    <row r="11" spans="1:12" x14ac:dyDescent="0.3">
      <c r="A11" s="9">
        <v>4</v>
      </c>
      <c r="B11" s="8">
        <f t="shared" si="1"/>
        <v>40.25</v>
      </c>
      <c r="C11" s="8">
        <f t="shared" si="0"/>
        <v>20</v>
      </c>
      <c r="D11" s="8">
        <f t="shared" si="0"/>
        <v>4.25</v>
      </c>
      <c r="E11" s="8">
        <f t="shared" si="0"/>
        <v>-7</v>
      </c>
      <c r="F11" s="8">
        <f t="shared" si="0"/>
        <v>-13.75</v>
      </c>
      <c r="G11" s="8">
        <f t="shared" si="0"/>
        <v>-16</v>
      </c>
      <c r="H11" s="8">
        <f t="shared" si="0"/>
        <v>-13.75</v>
      </c>
      <c r="I11" s="8">
        <f t="shared" si="0"/>
        <v>-7</v>
      </c>
      <c r="J11" s="8">
        <f t="shared" si="0"/>
        <v>4.25</v>
      </c>
      <c r="K11" s="8">
        <f t="shared" si="0"/>
        <v>20</v>
      </c>
      <c r="L11" s="8">
        <f t="shared" si="0"/>
        <v>40.25</v>
      </c>
    </row>
    <row r="12" spans="1:12" x14ac:dyDescent="0.3">
      <c r="A12" s="9">
        <v>5</v>
      </c>
      <c r="B12" s="8">
        <f t="shared" si="1"/>
        <v>31.25</v>
      </c>
      <c r="C12" s="8">
        <f t="shared" si="0"/>
        <v>11</v>
      </c>
      <c r="D12" s="8">
        <f t="shared" si="0"/>
        <v>-4.75</v>
      </c>
      <c r="E12" s="8">
        <f t="shared" si="0"/>
        <v>-16</v>
      </c>
      <c r="F12" s="8">
        <f t="shared" si="0"/>
        <v>-22.75</v>
      </c>
      <c r="G12" s="8">
        <f t="shared" si="0"/>
        <v>-25</v>
      </c>
      <c r="H12" s="8">
        <f t="shared" si="0"/>
        <v>-22.75</v>
      </c>
      <c r="I12" s="8">
        <f t="shared" si="0"/>
        <v>-16</v>
      </c>
      <c r="J12" s="8">
        <f t="shared" si="0"/>
        <v>-4.75</v>
      </c>
      <c r="K12" s="8">
        <f t="shared" si="0"/>
        <v>11</v>
      </c>
      <c r="L12" s="8">
        <f t="shared" si="0"/>
        <v>31.25</v>
      </c>
    </row>
  </sheetData>
  <pageMargins left="0.7" right="0.7" top="0.75" bottom="0.75" header="0.3" footer="0.3"/>
  <pageSetup paperSize="9" orientation="portrait" r:id="rId1"/>
  <headerFooter>
    <oddHeader>&amp;CГумирова Алена Альбертовна
2 подгруппа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FC2DB-83E0-45AE-AA53-FAAC470D1F93}">
  <dimension ref="A1:L15"/>
  <sheetViews>
    <sheetView tabSelected="1" zoomScaleNormal="100" workbookViewId="0">
      <selection activeCell="L20" sqref="L20"/>
    </sheetView>
  </sheetViews>
  <sheetFormatPr defaultRowHeight="18" x14ac:dyDescent="0.35"/>
  <cols>
    <col min="1" max="7" width="8.88671875" style="1"/>
    <col min="8" max="8" width="8.33203125" style="1" customWidth="1"/>
    <col min="9" max="16384" width="8.88671875" style="1"/>
  </cols>
  <sheetData>
    <row r="1" spans="1:12" x14ac:dyDescent="0.35">
      <c r="A1" s="11" t="s">
        <v>5</v>
      </c>
      <c r="B1" s="10">
        <v>4</v>
      </c>
    </row>
    <row r="2" spans="1:12" x14ac:dyDescent="0.35">
      <c r="A2" s="11" t="s">
        <v>1</v>
      </c>
      <c r="B2" s="10">
        <v>2</v>
      </c>
    </row>
    <row r="4" spans="1:12" x14ac:dyDescent="0.35">
      <c r="A4" s="8"/>
      <c r="B4" s="9">
        <v>-7.5</v>
      </c>
      <c r="C4" s="9">
        <v>-6</v>
      </c>
      <c r="D4" s="9">
        <v>-4.5</v>
      </c>
      <c r="E4" s="9">
        <v>-3</v>
      </c>
      <c r="F4" s="9">
        <v>-1.5</v>
      </c>
      <c r="G4" s="9">
        <v>0</v>
      </c>
      <c r="H4" s="9">
        <v>1.5</v>
      </c>
      <c r="I4" s="9">
        <v>3</v>
      </c>
      <c r="J4" s="9">
        <v>4.5</v>
      </c>
      <c r="K4" s="9">
        <v>6</v>
      </c>
      <c r="L4" s="9">
        <v>7.5</v>
      </c>
    </row>
    <row r="5" spans="1:12" x14ac:dyDescent="0.35">
      <c r="A5" s="9">
        <v>-5</v>
      </c>
      <c r="B5" s="8">
        <f>POWER(B$4,2)/POWER($B$1,2)-POWER($A5,2)/POWER($B$2,2)</f>
        <v>-2.734375</v>
      </c>
      <c r="C5" s="8">
        <f t="shared" ref="C5:L15" si="0">POWER(C$4,2)/POWER($B$1,2)-POWER($A5,2)/POWER($B$2,2)</f>
        <v>-4</v>
      </c>
      <c r="D5" s="8">
        <f t="shared" si="0"/>
        <v>-4.984375</v>
      </c>
      <c r="E5" s="8">
        <f t="shared" si="0"/>
        <v>-5.6875</v>
      </c>
      <c r="F5" s="8">
        <f t="shared" si="0"/>
        <v>-6.109375</v>
      </c>
      <c r="G5" s="8">
        <f t="shared" si="0"/>
        <v>-6.25</v>
      </c>
      <c r="H5" s="8">
        <f t="shared" si="0"/>
        <v>-6.109375</v>
      </c>
      <c r="I5" s="8">
        <f t="shared" si="0"/>
        <v>-5.6875</v>
      </c>
      <c r="J5" s="8">
        <f t="shared" si="0"/>
        <v>-4.984375</v>
      </c>
      <c r="K5" s="8">
        <f t="shared" si="0"/>
        <v>-4</v>
      </c>
      <c r="L5" s="8">
        <f t="shared" si="0"/>
        <v>-2.734375</v>
      </c>
    </row>
    <row r="6" spans="1:12" x14ac:dyDescent="0.35">
      <c r="A6" s="9">
        <v>-4</v>
      </c>
      <c r="B6" s="8">
        <f t="shared" ref="B6:B15" si="1">POWER(B$4,2)/POWER($B$1,2)-POWER($A6,2)/POWER($B$2,2)</f>
        <v>-0.484375</v>
      </c>
      <c r="C6" s="8">
        <f t="shared" si="0"/>
        <v>-1.75</v>
      </c>
      <c r="D6" s="8">
        <f t="shared" si="0"/>
        <v>-2.734375</v>
      </c>
      <c r="E6" s="8">
        <f t="shared" si="0"/>
        <v>-3.4375</v>
      </c>
      <c r="F6" s="8">
        <f t="shared" si="0"/>
        <v>-3.859375</v>
      </c>
      <c r="G6" s="8">
        <f t="shared" si="0"/>
        <v>-4</v>
      </c>
      <c r="H6" s="8">
        <f t="shared" si="0"/>
        <v>-3.859375</v>
      </c>
      <c r="I6" s="8">
        <f t="shared" si="0"/>
        <v>-3.4375</v>
      </c>
      <c r="J6" s="8">
        <f t="shared" si="0"/>
        <v>-2.734375</v>
      </c>
      <c r="K6" s="8">
        <f t="shared" si="0"/>
        <v>-1.75</v>
      </c>
      <c r="L6" s="8">
        <f t="shared" si="0"/>
        <v>-0.484375</v>
      </c>
    </row>
    <row r="7" spans="1:12" x14ac:dyDescent="0.35">
      <c r="A7" s="9">
        <v>-3</v>
      </c>
      <c r="B7" s="8">
        <f t="shared" si="1"/>
        <v>1.265625</v>
      </c>
      <c r="C7" s="8">
        <f t="shared" si="0"/>
        <v>0</v>
      </c>
      <c r="D7" s="8">
        <f t="shared" si="0"/>
        <v>-0.984375</v>
      </c>
      <c r="E7" s="8">
        <f t="shared" si="0"/>
        <v>-1.6875</v>
      </c>
      <c r="F7" s="8">
        <f t="shared" si="0"/>
        <v>-2.109375</v>
      </c>
      <c r="G7" s="8">
        <f t="shared" si="0"/>
        <v>-2.25</v>
      </c>
      <c r="H7" s="8">
        <f t="shared" si="0"/>
        <v>-2.109375</v>
      </c>
      <c r="I7" s="8">
        <f t="shared" si="0"/>
        <v>-1.6875</v>
      </c>
      <c r="J7" s="8">
        <f t="shared" si="0"/>
        <v>-0.984375</v>
      </c>
      <c r="K7" s="8">
        <f t="shared" si="0"/>
        <v>0</v>
      </c>
      <c r="L7" s="8">
        <f t="shared" si="0"/>
        <v>1.265625</v>
      </c>
    </row>
    <row r="8" spans="1:12" x14ac:dyDescent="0.35">
      <c r="A8" s="9">
        <v>-2</v>
      </c>
      <c r="B8" s="8">
        <f t="shared" si="1"/>
        <v>2.515625</v>
      </c>
      <c r="C8" s="8">
        <f t="shared" si="0"/>
        <v>1.25</v>
      </c>
      <c r="D8" s="8">
        <f t="shared" si="0"/>
        <v>0.265625</v>
      </c>
      <c r="E8" s="8">
        <f t="shared" si="0"/>
        <v>-0.4375</v>
      </c>
      <c r="F8" s="8">
        <f t="shared" si="0"/>
        <v>-0.859375</v>
      </c>
      <c r="G8" s="8">
        <f t="shared" si="0"/>
        <v>-1</v>
      </c>
      <c r="H8" s="8">
        <f t="shared" si="0"/>
        <v>-0.859375</v>
      </c>
      <c r="I8" s="8">
        <f t="shared" si="0"/>
        <v>-0.4375</v>
      </c>
      <c r="J8" s="8">
        <f t="shared" si="0"/>
        <v>0.265625</v>
      </c>
      <c r="K8" s="8">
        <f t="shared" si="0"/>
        <v>1.25</v>
      </c>
      <c r="L8" s="8">
        <f t="shared" si="0"/>
        <v>2.515625</v>
      </c>
    </row>
    <row r="9" spans="1:12" x14ac:dyDescent="0.35">
      <c r="A9" s="9">
        <v>-1</v>
      </c>
      <c r="B9" s="8">
        <f t="shared" si="1"/>
        <v>3.265625</v>
      </c>
      <c r="C9" s="8">
        <f t="shared" si="0"/>
        <v>2</v>
      </c>
      <c r="D9" s="8">
        <f t="shared" si="0"/>
        <v>1.015625</v>
      </c>
      <c r="E9" s="8">
        <f t="shared" si="0"/>
        <v>0.3125</v>
      </c>
      <c r="F9" s="8">
        <f t="shared" si="0"/>
        <v>-0.109375</v>
      </c>
      <c r="G9" s="8">
        <f t="shared" si="0"/>
        <v>-0.25</v>
      </c>
      <c r="H9" s="8">
        <f t="shared" si="0"/>
        <v>-0.109375</v>
      </c>
      <c r="I9" s="8">
        <f t="shared" si="0"/>
        <v>0.3125</v>
      </c>
      <c r="J9" s="8">
        <f t="shared" si="0"/>
        <v>1.015625</v>
      </c>
      <c r="K9" s="8">
        <f t="shared" si="0"/>
        <v>2</v>
      </c>
      <c r="L9" s="8">
        <f t="shared" si="0"/>
        <v>3.265625</v>
      </c>
    </row>
    <row r="10" spans="1:12" x14ac:dyDescent="0.35">
      <c r="A10" s="9">
        <v>0</v>
      </c>
      <c r="B10" s="8">
        <f t="shared" si="1"/>
        <v>3.515625</v>
      </c>
      <c r="C10" s="8">
        <f t="shared" si="0"/>
        <v>2.25</v>
      </c>
      <c r="D10" s="8">
        <f t="shared" si="0"/>
        <v>1.265625</v>
      </c>
      <c r="E10" s="8">
        <f t="shared" si="0"/>
        <v>0.5625</v>
      </c>
      <c r="F10" s="8">
        <f t="shared" si="0"/>
        <v>0.140625</v>
      </c>
      <c r="G10" s="8">
        <f t="shared" si="0"/>
        <v>0</v>
      </c>
      <c r="H10" s="8">
        <f t="shared" si="0"/>
        <v>0.140625</v>
      </c>
      <c r="I10" s="8">
        <f t="shared" si="0"/>
        <v>0.5625</v>
      </c>
      <c r="J10" s="8">
        <f t="shared" si="0"/>
        <v>1.265625</v>
      </c>
      <c r="K10" s="8">
        <f t="shared" si="0"/>
        <v>2.25</v>
      </c>
      <c r="L10" s="8">
        <f t="shared" si="0"/>
        <v>3.515625</v>
      </c>
    </row>
    <row r="11" spans="1:12" x14ac:dyDescent="0.35">
      <c r="A11" s="9">
        <v>1</v>
      </c>
      <c r="B11" s="8">
        <f t="shared" si="1"/>
        <v>3.265625</v>
      </c>
      <c r="C11" s="8">
        <f t="shared" si="0"/>
        <v>2</v>
      </c>
      <c r="D11" s="8">
        <f t="shared" si="0"/>
        <v>1.015625</v>
      </c>
      <c r="E11" s="8">
        <f t="shared" si="0"/>
        <v>0.3125</v>
      </c>
      <c r="F11" s="8">
        <f t="shared" si="0"/>
        <v>-0.109375</v>
      </c>
      <c r="G11" s="8">
        <f t="shared" si="0"/>
        <v>-0.25</v>
      </c>
      <c r="H11" s="8">
        <f t="shared" si="0"/>
        <v>-0.109375</v>
      </c>
      <c r="I11" s="8">
        <f t="shared" si="0"/>
        <v>0.3125</v>
      </c>
      <c r="J11" s="8">
        <f t="shared" si="0"/>
        <v>1.015625</v>
      </c>
      <c r="K11" s="8">
        <f t="shared" si="0"/>
        <v>2</v>
      </c>
      <c r="L11" s="8">
        <f t="shared" si="0"/>
        <v>3.265625</v>
      </c>
    </row>
    <row r="12" spans="1:12" x14ac:dyDescent="0.35">
      <c r="A12" s="9">
        <v>2</v>
      </c>
      <c r="B12" s="8">
        <f t="shared" si="1"/>
        <v>2.515625</v>
      </c>
      <c r="C12" s="8">
        <f t="shared" si="0"/>
        <v>1.25</v>
      </c>
      <c r="D12" s="8">
        <f t="shared" si="0"/>
        <v>0.265625</v>
      </c>
      <c r="E12" s="8">
        <f t="shared" si="0"/>
        <v>-0.4375</v>
      </c>
      <c r="F12" s="8">
        <f t="shared" si="0"/>
        <v>-0.859375</v>
      </c>
      <c r="G12" s="8">
        <f t="shared" si="0"/>
        <v>-1</v>
      </c>
      <c r="H12" s="8">
        <f t="shared" si="0"/>
        <v>-0.859375</v>
      </c>
      <c r="I12" s="8">
        <f t="shared" si="0"/>
        <v>-0.4375</v>
      </c>
      <c r="J12" s="8">
        <f t="shared" si="0"/>
        <v>0.265625</v>
      </c>
      <c r="K12" s="8">
        <f t="shared" si="0"/>
        <v>1.25</v>
      </c>
      <c r="L12" s="8">
        <f t="shared" si="0"/>
        <v>2.515625</v>
      </c>
    </row>
    <row r="13" spans="1:12" x14ac:dyDescent="0.35">
      <c r="A13" s="9">
        <v>3</v>
      </c>
      <c r="B13" s="8">
        <f t="shared" si="1"/>
        <v>1.265625</v>
      </c>
      <c r="C13" s="8">
        <f t="shared" si="0"/>
        <v>0</v>
      </c>
      <c r="D13" s="8">
        <f t="shared" si="0"/>
        <v>-0.984375</v>
      </c>
      <c r="E13" s="8">
        <f t="shared" si="0"/>
        <v>-1.6875</v>
      </c>
      <c r="F13" s="8">
        <f t="shared" si="0"/>
        <v>-2.109375</v>
      </c>
      <c r="G13" s="8">
        <f t="shared" si="0"/>
        <v>-2.25</v>
      </c>
      <c r="H13" s="8">
        <f t="shared" si="0"/>
        <v>-2.109375</v>
      </c>
      <c r="I13" s="8">
        <f t="shared" si="0"/>
        <v>-1.6875</v>
      </c>
      <c r="J13" s="8">
        <f t="shared" si="0"/>
        <v>-0.984375</v>
      </c>
      <c r="K13" s="8">
        <f t="shared" si="0"/>
        <v>0</v>
      </c>
      <c r="L13" s="8">
        <f t="shared" si="0"/>
        <v>1.265625</v>
      </c>
    </row>
    <row r="14" spans="1:12" x14ac:dyDescent="0.35">
      <c r="A14" s="9">
        <v>4</v>
      </c>
      <c r="B14" s="8">
        <f t="shared" si="1"/>
        <v>-0.484375</v>
      </c>
      <c r="C14" s="8">
        <f t="shared" si="0"/>
        <v>-1.75</v>
      </c>
      <c r="D14" s="8">
        <f t="shared" si="0"/>
        <v>-2.734375</v>
      </c>
      <c r="E14" s="8">
        <f t="shared" si="0"/>
        <v>-3.4375</v>
      </c>
      <c r="F14" s="8">
        <f t="shared" si="0"/>
        <v>-3.859375</v>
      </c>
      <c r="G14" s="8">
        <f t="shared" si="0"/>
        <v>-4</v>
      </c>
      <c r="H14" s="8">
        <f t="shared" si="0"/>
        <v>-3.859375</v>
      </c>
      <c r="I14" s="8">
        <f t="shared" si="0"/>
        <v>-3.4375</v>
      </c>
      <c r="J14" s="8">
        <f t="shared" si="0"/>
        <v>-2.734375</v>
      </c>
      <c r="K14" s="8">
        <f t="shared" si="0"/>
        <v>-1.75</v>
      </c>
      <c r="L14" s="8">
        <f t="shared" si="0"/>
        <v>-0.484375</v>
      </c>
    </row>
    <row r="15" spans="1:12" x14ac:dyDescent="0.35">
      <c r="A15" s="9">
        <v>5</v>
      </c>
      <c r="B15" s="8">
        <f t="shared" si="1"/>
        <v>-2.734375</v>
      </c>
      <c r="C15" s="8">
        <f t="shared" si="0"/>
        <v>-4</v>
      </c>
      <c r="D15" s="8">
        <f t="shared" si="0"/>
        <v>-4.984375</v>
      </c>
      <c r="E15" s="8">
        <f t="shared" si="0"/>
        <v>-5.6875</v>
      </c>
      <c r="F15" s="8">
        <f t="shared" si="0"/>
        <v>-6.109375</v>
      </c>
      <c r="G15" s="8">
        <f t="shared" si="0"/>
        <v>-6.25</v>
      </c>
      <c r="H15" s="8">
        <f t="shared" si="0"/>
        <v>-6.109375</v>
      </c>
      <c r="I15" s="8">
        <f t="shared" si="0"/>
        <v>-5.6875</v>
      </c>
      <c r="J15" s="8">
        <f t="shared" si="0"/>
        <v>-4.984375</v>
      </c>
      <c r="K15" s="8">
        <f t="shared" si="0"/>
        <v>-4</v>
      </c>
      <c r="L15" s="8">
        <f t="shared" si="0"/>
        <v>-2.734375</v>
      </c>
    </row>
  </sheetData>
  <pageMargins left="0.7" right="0.7" top="0.75" bottom="0.75" header="0.3" footer="0.3"/>
  <pageSetup paperSize="9" orientation="portrait" r:id="rId1"/>
  <headerFooter>
    <oddHeader>&amp;CГумирова Алена Альбертовна
2 подгруппа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Задание 1</vt:lpstr>
      <vt:lpstr>Задание 2</vt:lpstr>
      <vt:lpstr>Задание 3</vt:lpstr>
      <vt:lpstr>Задание 3.4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Kanoo</dc:creator>
  <cp:lastModifiedBy>Kanoo</cp:lastModifiedBy>
  <cp:lastPrinted>2022-09-16T09:09:09Z</cp:lastPrinted>
  <dcterms:created xsi:type="dcterms:W3CDTF">2015-06-05T18:19:34Z</dcterms:created>
  <dcterms:modified xsi:type="dcterms:W3CDTF">2022-09-22T20:05:40Z</dcterms:modified>
</cp:coreProperties>
</file>