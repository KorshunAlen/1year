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математике\Тема 2\"/>
    </mc:Choice>
  </mc:AlternateContent>
  <xr:revisionPtr revIDLastSave="0" documentId="13_ncr:1_{03440F2E-F63D-40E5-A5D7-FE0F105208D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Задание 2.0" sheetId="3" r:id="rId1"/>
    <sheet name="Задание 2.1" sheetId="2" r:id="rId2"/>
    <sheet name="Задание 2.2" sheetId="4" r:id="rId3"/>
    <sheet name="Задание 2.2 (2)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8" l="1"/>
  <c r="K15" i="8"/>
  <c r="J15" i="8"/>
  <c r="I15" i="8"/>
  <c r="H15" i="8"/>
  <c r="G15" i="8"/>
  <c r="F15" i="8"/>
  <c r="E15" i="8"/>
  <c r="D15" i="8"/>
  <c r="C15" i="8"/>
  <c r="B15" i="8"/>
  <c r="L14" i="8"/>
  <c r="K14" i="8"/>
  <c r="J14" i="8"/>
  <c r="I14" i="8"/>
  <c r="H14" i="8"/>
  <c r="G14" i="8"/>
  <c r="F14" i="8"/>
  <c r="E14" i="8"/>
  <c r="D14" i="8"/>
  <c r="C14" i="8"/>
  <c r="B14" i="8"/>
  <c r="L13" i="8"/>
  <c r="K13" i="8"/>
  <c r="J13" i="8"/>
  <c r="I13" i="8"/>
  <c r="H13" i="8"/>
  <c r="G13" i="8"/>
  <c r="F13" i="8"/>
  <c r="E13" i="8"/>
  <c r="D13" i="8"/>
  <c r="C13" i="8"/>
  <c r="B13" i="8"/>
  <c r="L12" i="8"/>
  <c r="K12" i="8"/>
  <c r="J12" i="8"/>
  <c r="I12" i="8"/>
  <c r="H12" i="8"/>
  <c r="G12" i="8"/>
  <c r="F12" i="8"/>
  <c r="E12" i="8"/>
  <c r="D12" i="8"/>
  <c r="C12" i="8"/>
  <c r="B12" i="8"/>
  <c r="L11" i="8"/>
  <c r="K11" i="8"/>
  <c r="J11" i="8"/>
  <c r="I11" i="8"/>
  <c r="H11" i="8"/>
  <c r="G11" i="8"/>
  <c r="F11" i="8"/>
  <c r="E11" i="8"/>
  <c r="D11" i="8"/>
  <c r="C11" i="8"/>
  <c r="B11" i="8"/>
  <c r="L10" i="8"/>
  <c r="K10" i="8"/>
  <c r="J10" i="8"/>
  <c r="I10" i="8"/>
  <c r="H10" i="8"/>
  <c r="G10" i="8"/>
  <c r="F10" i="8"/>
  <c r="E10" i="8"/>
  <c r="D10" i="8"/>
  <c r="C10" i="8"/>
  <c r="B10" i="8"/>
  <c r="L9" i="8"/>
  <c r="K9" i="8"/>
  <c r="J9" i="8"/>
  <c r="I9" i="8"/>
  <c r="H9" i="8"/>
  <c r="G9" i="8"/>
  <c r="F9" i="8"/>
  <c r="E9" i="8"/>
  <c r="D9" i="8"/>
  <c r="C9" i="8"/>
  <c r="B9" i="8"/>
  <c r="L8" i="8"/>
  <c r="K8" i="8"/>
  <c r="J8" i="8"/>
  <c r="I8" i="8"/>
  <c r="H8" i="8"/>
  <c r="G8" i="8"/>
  <c r="F8" i="8"/>
  <c r="E8" i="8"/>
  <c r="D8" i="8"/>
  <c r="C8" i="8"/>
  <c r="B8" i="8"/>
  <c r="L7" i="8"/>
  <c r="K7" i="8"/>
  <c r="J7" i="8"/>
  <c r="I7" i="8"/>
  <c r="H7" i="8"/>
  <c r="G7" i="8"/>
  <c r="F7" i="8"/>
  <c r="E7" i="8"/>
  <c r="D7" i="8"/>
  <c r="C7" i="8"/>
  <c r="B7" i="8"/>
  <c r="L6" i="8"/>
  <c r="K6" i="8"/>
  <c r="J6" i="8"/>
  <c r="I6" i="8"/>
  <c r="H6" i="8"/>
  <c r="G6" i="8"/>
  <c r="F6" i="8"/>
  <c r="E6" i="8"/>
  <c r="D6" i="8"/>
  <c r="C6" i="8"/>
  <c r="B6" i="8"/>
  <c r="L5" i="8"/>
  <c r="K5" i="8"/>
  <c r="J5" i="8"/>
  <c r="I5" i="8"/>
  <c r="H5" i="8"/>
  <c r="G5" i="8"/>
  <c r="F5" i="8"/>
  <c r="E5" i="8"/>
  <c r="D5" i="8"/>
  <c r="C5" i="8"/>
  <c r="B5" i="8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B12" i="4"/>
  <c r="C12" i="4"/>
  <c r="D12" i="4"/>
  <c r="E12" i="4"/>
  <c r="F12" i="4"/>
  <c r="G12" i="4"/>
  <c r="H12" i="4"/>
  <c r="I12" i="4"/>
  <c r="J12" i="4"/>
  <c r="K12" i="4"/>
  <c r="L12" i="4"/>
  <c r="B13" i="4"/>
  <c r="C13" i="4"/>
  <c r="D13" i="4"/>
  <c r="E13" i="4"/>
  <c r="F13" i="4"/>
  <c r="G13" i="4"/>
  <c r="H13" i="4"/>
  <c r="I13" i="4"/>
  <c r="J13" i="4"/>
  <c r="K13" i="4"/>
  <c r="L13" i="4"/>
  <c r="B14" i="4"/>
  <c r="C14" i="4"/>
  <c r="D14" i="4"/>
  <c r="E14" i="4"/>
  <c r="F14" i="4"/>
  <c r="G14" i="4"/>
  <c r="H14" i="4"/>
  <c r="I14" i="4"/>
  <c r="J14" i="4"/>
  <c r="K14" i="4"/>
  <c r="L14" i="4"/>
  <c r="B15" i="4"/>
  <c r="C15" i="4"/>
  <c r="D15" i="4"/>
  <c r="E15" i="4"/>
  <c r="F15" i="4"/>
  <c r="G15" i="4"/>
  <c r="H15" i="4"/>
  <c r="I15" i="4"/>
  <c r="J15" i="4"/>
  <c r="K15" i="4"/>
  <c r="L15" i="4"/>
  <c r="C5" i="4"/>
  <c r="D5" i="4"/>
  <c r="E5" i="4"/>
  <c r="F5" i="4"/>
  <c r="G5" i="4"/>
  <c r="H5" i="4"/>
  <c r="I5" i="4"/>
  <c r="J5" i="4"/>
  <c r="K5" i="4"/>
  <c r="L5" i="4"/>
  <c r="B5" i="4"/>
  <c r="F77" i="2"/>
  <c r="G77" i="2"/>
  <c r="C77" i="2"/>
  <c r="D77" i="2"/>
  <c r="E77" i="2"/>
  <c r="B77" i="2"/>
  <c r="P54" i="2"/>
  <c r="Q54" i="2"/>
  <c r="N54" i="2"/>
  <c r="O54" i="2"/>
  <c r="K54" i="2"/>
  <c r="L54" i="2"/>
  <c r="M54" i="2"/>
  <c r="C54" i="2"/>
  <c r="D54" i="2"/>
  <c r="E54" i="2"/>
  <c r="F54" i="2"/>
  <c r="G54" i="2"/>
  <c r="H54" i="2"/>
  <c r="I54" i="2"/>
  <c r="J54" i="2"/>
  <c r="B54" i="2"/>
  <c r="C30" i="2"/>
  <c r="D30" i="2"/>
  <c r="E30" i="2"/>
  <c r="F30" i="2"/>
  <c r="G30" i="2"/>
  <c r="H30" i="2"/>
  <c r="I30" i="2"/>
  <c r="J30" i="2"/>
  <c r="B27" i="2"/>
  <c r="B30" i="2" s="1"/>
  <c r="C4" i="2"/>
  <c r="D4" i="2"/>
  <c r="E4" i="2"/>
  <c r="F4" i="2"/>
  <c r="G4" i="2"/>
  <c r="H4" i="2"/>
  <c r="B4" i="2"/>
</calcChain>
</file>

<file path=xl/sharedStrings.xml><?xml version="1.0" encoding="utf-8"?>
<sst xmlns="http://schemas.openxmlformats.org/spreadsheetml/2006/main" count="23" uniqueCount="16">
  <si>
    <t>день рождения</t>
  </si>
  <si>
    <t>месяц рождения</t>
  </si>
  <si>
    <t>год рождения</t>
  </si>
  <si>
    <t>номер дома</t>
  </si>
  <si>
    <t>номер квартиры</t>
  </si>
  <si>
    <t>номер варианта</t>
  </si>
  <si>
    <t>x</t>
  </si>
  <si>
    <t>y</t>
  </si>
  <si>
    <t>Задача 1</t>
  </si>
  <si>
    <t>Задача 2</t>
  </si>
  <si>
    <t>с</t>
  </si>
  <si>
    <t>Задача 3</t>
  </si>
  <si>
    <t>Задача 4</t>
  </si>
  <si>
    <t>a</t>
  </si>
  <si>
    <t>b</t>
  </si>
  <si>
    <r>
      <t>Вывод: При изменении параметров а и b по знаку график не изменяется, где значение модуля а и b-const.( a=</t>
    </r>
    <r>
      <rPr>
        <sz val="14"/>
        <color theme="1"/>
        <rFont val="Calibri"/>
        <family val="2"/>
        <charset val="204"/>
      </rPr>
      <t>±</t>
    </r>
    <r>
      <rPr>
        <sz val="14"/>
        <color theme="1"/>
        <rFont val="Calibri"/>
        <family val="2"/>
      </rPr>
      <t>|c|, b=</t>
    </r>
    <r>
      <rPr>
        <sz val="14"/>
        <color theme="1"/>
        <rFont val="Calibri"/>
        <family val="2"/>
        <charset val="204"/>
      </rPr>
      <t>±</t>
    </r>
    <r>
      <rPr>
        <sz val="14"/>
        <color theme="1"/>
        <rFont val="Calibri"/>
        <family val="2"/>
      </rPr>
      <t xml:space="preserve">|d|).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</si>
</sst>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функции </a:t>
            </a:r>
            <a:r>
              <a:rPr lang="en-US" b="1" baseline="0"/>
              <a:t>y=|a/b+|x||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'Задание 2.1'!$A$4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'Задание 2.1'!$B$3:$H$3</c:f>
              <c:numCache>
                <c:formatCode>General</c:formatCode>
                <c:ptCount val="7"/>
                <c:pt idx="0">
                  <c:v>-6</c:v>
                </c:pt>
                <c:pt idx="1">
                  <c:v>-4</c:v>
                </c:pt>
                <c:pt idx="2">
                  <c:v>-2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</c:numCache>
            </c:numRef>
          </c:xVal>
          <c:yVal>
            <c:numRef>
              <c:f>'Задание 2.1'!$B$4:$H$4</c:f>
              <c:numCache>
                <c:formatCode>General</c:formatCode>
                <c:ptCount val="7"/>
                <c:pt idx="0">
                  <c:v>10.166666666666668</c:v>
                </c:pt>
                <c:pt idx="1">
                  <c:v>8.1666666666666679</c:v>
                </c:pt>
                <c:pt idx="2">
                  <c:v>6.166666666666667</c:v>
                </c:pt>
                <c:pt idx="3">
                  <c:v>4.166666666666667</c:v>
                </c:pt>
                <c:pt idx="4">
                  <c:v>6.166666666666667</c:v>
                </c:pt>
                <c:pt idx="5">
                  <c:v>8.1666666666666679</c:v>
                </c:pt>
                <c:pt idx="6">
                  <c:v>10.166666666666668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F-40A6-94F5-321BEDC08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420960"/>
        <c:axId val="1307421376"/>
      </c:scatterChart>
      <c:valAx>
        <c:axId val="130742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2823432539682538"/>
              <c:y val="0.78624873737373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7421376"/>
        <c:crosses val="autoZero"/>
        <c:crossBetween val="midCat"/>
      </c:valAx>
      <c:valAx>
        <c:axId val="13074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2160714285714282"/>
              <c:y val="0.10719267676767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7420960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График функции </a:t>
            </a:r>
            <a:r>
              <a:rPr lang="en-US" sz="1400" b="1" i="0" u="none" strike="noStrike" baseline="0">
                <a:effectLst/>
              </a:rPr>
              <a:t>y=a*x^2+b*x+c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4414682539682537E-2"/>
          <c:y val="0.12215732323232326"/>
          <c:w val="0.92102817460317465"/>
          <c:h val="0.845771969696969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2.1'!$A$30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'Задание 2.1'!$B$29:$J$29</c:f>
              <c:numCache>
                <c:formatCode>General</c:formatCode>
                <c:ptCount val="9"/>
                <c:pt idx="0">
                  <c:v>-2.5</c:v>
                </c:pt>
                <c:pt idx="1">
                  <c:v>-1.5</c:v>
                </c:pt>
                <c:pt idx="2">
                  <c:v>-0.75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0.75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'Задание 2.1'!$B$30:$J$30</c:f>
              <c:numCache>
                <c:formatCode>General</c:formatCode>
                <c:ptCount val="9"/>
                <c:pt idx="0">
                  <c:v>60</c:v>
                </c:pt>
                <c:pt idx="1">
                  <c:v>18</c:v>
                </c:pt>
                <c:pt idx="2">
                  <c:v>2.25</c:v>
                </c:pt>
                <c:pt idx="3">
                  <c:v>-0.75</c:v>
                </c:pt>
                <c:pt idx="4">
                  <c:v>0</c:v>
                </c:pt>
                <c:pt idx="5">
                  <c:v>2.25</c:v>
                </c:pt>
                <c:pt idx="6">
                  <c:v>11.25</c:v>
                </c:pt>
                <c:pt idx="7">
                  <c:v>36</c:v>
                </c:pt>
                <c:pt idx="8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C3-438D-874C-2CFC65976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427040"/>
        <c:axId val="1536424128"/>
      </c:scatterChart>
      <c:valAx>
        <c:axId val="153642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</a:p>
            </c:rich>
          </c:tx>
          <c:layout>
            <c:manualLayout>
              <c:xMode val="edge"/>
              <c:yMode val="edge"/>
              <c:x val="0.90375396825396825"/>
              <c:y val="0.80869823232323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424128"/>
        <c:crosses val="autoZero"/>
        <c:crossBetween val="midCat"/>
      </c:valAx>
      <c:valAx>
        <c:axId val="15364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4421626984126981"/>
              <c:y val="0.1126499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427040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baseline="0">
                <a:effectLst/>
              </a:rPr>
              <a:t>График функции </a:t>
            </a:r>
            <a:r>
              <a:rPr lang="en-US" sz="1400" b="1" i="0" baseline="0">
                <a:effectLst/>
              </a:rPr>
              <a:t>y=|-5*x^2+b*x+c|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2.1'!$A$54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'Задание 2.1'!$B$53:$Q$53</c:f>
              <c:numCache>
                <c:formatCode>General</c:formatCode>
                <c:ptCount val="16"/>
                <c:pt idx="0">
                  <c:v>-2</c:v>
                </c:pt>
                <c:pt idx="1">
                  <c:v>-1.5</c:v>
                </c:pt>
                <c:pt idx="2">
                  <c:v>-1.25</c:v>
                </c:pt>
                <c:pt idx="3">
                  <c:v>-1</c:v>
                </c:pt>
                <c:pt idx="4">
                  <c:v>-0.75</c:v>
                </c:pt>
                <c:pt idx="5">
                  <c:v>-0.25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4</c:v>
                </c:pt>
                <c:pt idx="15">
                  <c:v>4.5</c:v>
                </c:pt>
              </c:numCache>
            </c:numRef>
          </c:xVal>
          <c:yVal>
            <c:numRef>
              <c:f>'Задание 2.1'!$B$54:$Q$54</c:f>
              <c:numCache>
                <c:formatCode>General</c:formatCode>
                <c:ptCount val="16"/>
                <c:pt idx="0">
                  <c:v>45.333333333333343</c:v>
                </c:pt>
                <c:pt idx="1">
                  <c:v>25.25</c:v>
                </c:pt>
                <c:pt idx="2">
                  <c:v>16.145833333333336</c:v>
                </c:pt>
                <c:pt idx="3">
                  <c:v>7.6666666666666679</c:v>
                </c:pt>
                <c:pt idx="4">
                  <c:v>0.1875</c:v>
                </c:pt>
                <c:pt idx="5">
                  <c:v>14.020833333333332</c:v>
                </c:pt>
                <c:pt idx="6">
                  <c:v>20</c:v>
                </c:pt>
                <c:pt idx="7">
                  <c:v>30.083333333333336</c:v>
                </c:pt>
                <c:pt idx="8">
                  <c:v>37.666666666666671</c:v>
                </c:pt>
                <c:pt idx="9">
                  <c:v>42.75</c:v>
                </c:pt>
                <c:pt idx="10">
                  <c:v>45.333333333333336</c:v>
                </c:pt>
                <c:pt idx="11">
                  <c:v>45.416666666666671</c:v>
                </c:pt>
                <c:pt idx="12">
                  <c:v>43</c:v>
                </c:pt>
                <c:pt idx="13">
                  <c:v>38.083333333333343</c:v>
                </c:pt>
                <c:pt idx="14">
                  <c:v>30.666666666666671</c:v>
                </c:pt>
                <c:pt idx="15">
                  <c:v>20.75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5A-45C3-B940-69B8EEA77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479264"/>
        <c:axId val="1446485920"/>
      </c:scatterChart>
      <c:valAx>
        <c:axId val="144647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1789047619047615"/>
              <c:y val="0.78126161616161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485920"/>
        <c:crosses val="autoZero"/>
        <c:crossBetween val="midCat"/>
      </c:valAx>
      <c:valAx>
        <c:axId val="144648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40569444444444447"/>
              <c:y val="0.10398560606060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479264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</a:t>
            </a:r>
            <a:endParaRPr lang="en-US"/>
          </a:p>
        </c:rich>
      </c:tx>
      <c:layout>
        <c:manualLayout>
          <c:xMode val="edge"/>
          <c:yMode val="edge"/>
          <c:x val="0.26976825396825399"/>
          <c:y val="1.9242424242424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'Задание 2.1'!$A$77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yVal>
            <c:numRef>
              <c:f>'Задание 2.1'!$B$77:$G$77</c:f>
              <c:numCache>
                <c:formatCode>General</c:formatCode>
                <c:ptCount val="6"/>
                <c:pt idx="0">
                  <c:v>1.4330400280886939</c:v>
                </c:pt>
                <c:pt idx="1">
                  <c:v>1.4330400280886939</c:v>
                </c:pt>
                <c:pt idx="2">
                  <c:v>1.4330400280886939</c:v>
                </c:pt>
                <c:pt idx="3">
                  <c:v>1.4330400280886939</c:v>
                </c:pt>
                <c:pt idx="4">
                  <c:v>1.4330400280886939</c:v>
                </c:pt>
                <c:pt idx="5">
                  <c:v>1.4330400280886939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E-4E6F-B124-37D40136E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508384"/>
        <c:axId val="1541511296"/>
      </c:scatterChart>
      <c:valAx>
        <c:axId val="154150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2472440476190476"/>
              <c:y val="0.78945580808080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1511296"/>
        <c:crosses val="autoZero"/>
        <c:crossBetween val="midCat"/>
      </c:valAx>
      <c:valAx>
        <c:axId val="154151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12095238095238095"/>
              <c:y val="0.10719267676767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1508384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Эллиптический параболоид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'Задание 2.2'!$A$5</c:f>
              <c:strCache>
                <c:ptCount val="1"/>
                <c:pt idx="0">
                  <c:v>-5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2.2'!$B$5:$L$5</c:f>
              <c:numCache>
                <c:formatCode>General</c:formatCode>
                <c:ptCount val="11"/>
                <c:pt idx="0">
                  <c:v>81.25</c:v>
                </c:pt>
                <c:pt idx="1">
                  <c:v>61</c:v>
                </c:pt>
                <c:pt idx="2">
                  <c:v>45.25</c:v>
                </c:pt>
                <c:pt idx="3">
                  <c:v>34</c:v>
                </c:pt>
                <c:pt idx="4">
                  <c:v>27.25</c:v>
                </c:pt>
                <c:pt idx="5">
                  <c:v>25</c:v>
                </c:pt>
                <c:pt idx="6">
                  <c:v>27.25</c:v>
                </c:pt>
                <c:pt idx="7">
                  <c:v>34</c:v>
                </c:pt>
                <c:pt idx="8">
                  <c:v>45.25</c:v>
                </c:pt>
                <c:pt idx="9">
                  <c:v>61</c:v>
                </c:pt>
                <c:pt idx="10">
                  <c:v>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6-4C52-BC56-A2A4D943D260}"/>
            </c:ext>
          </c:extLst>
        </c:ser>
        <c:ser>
          <c:idx val="1"/>
          <c:order val="1"/>
          <c:tx>
            <c:strRef>
              <c:f>'Задание 2.2'!$A$6</c:f>
              <c:strCache>
                <c:ptCount val="1"/>
                <c:pt idx="0">
                  <c:v>-4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2.2'!$B$6:$L$6</c:f>
              <c:numCache>
                <c:formatCode>General</c:formatCode>
                <c:ptCount val="11"/>
                <c:pt idx="0">
                  <c:v>72.25</c:v>
                </c:pt>
                <c:pt idx="1">
                  <c:v>52</c:v>
                </c:pt>
                <c:pt idx="2">
                  <c:v>36.25</c:v>
                </c:pt>
                <c:pt idx="3">
                  <c:v>25</c:v>
                </c:pt>
                <c:pt idx="4">
                  <c:v>18.25</c:v>
                </c:pt>
                <c:pt idx="5">
                  <c:v>16</c:v>
                </c:pt>
                <c:pt idx="6">
                  <c:v>18.25</c:v>
                </c:pt>
                <c:pt idx="7">
                  <c:v>25</c:v>
                </c:pt>
                <c:pt idx="8">
                  <c:v>36.25</c:v>
                </c:pt>
                <c:pt idx="9">
                  <c:v>52</c:v>
                </c:pt>
                <c:pt idx="10">
                  <c:v>72.25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6-4C52-BC56-A2A4D943D260}"/>
            </c:ext>
          </c:extLst>
        </c:ser>
        <c:ser>
          <c:idx val="2"/>
          <c:order val="2"/>
          <c:tx>
            <c:strRef>
              <c:f>'Задание 2.2'!$A$7</c:f>
              <c:strCache>
                <c:ptCount val="1"/>
                <c:pt idx="0">
                  <c:v>-3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2.2'!$B$7:$L$7</c:f>
              <c:numCache>
                <c:formatCode>General</c:formatCode>
                <c:ptCount val="11"/>
                <c:pt idx="0">
                  <c:v>65.25</c:v>
                </c:pt>
                <c:pt idx="1">
                  <c:v>45</c:v>
                </c:pt>
                <c:pt idx="2">
                  <c:v>29.25</c:v>
                </c:pt>
                <c:pt idx="3">
                  <c:v>18</c:v>
                </c:pt>
                <c:pt idx="4">
                  <c:v>11.25</c:v>
                </c:pt>
                <c:pt idx="5">
                  <c:v>9</c:v>
                </c:pt>
                <c:pt idx="6">
                  <c:v>11.25</c:v>
                </c:pt>
                <c:pt idx="7">
                  <c:v>18</c:v>
                </c:pt>
                <c:pt idx="8">
                  <c:v>29.25</c:v>
                </c:pt>
                <c:pt idx="9">
                  <c:v>45</c:v>
                </c:pt>
                <c:pt idx="10">
                  <c:v>65.25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86-4C52-BC56-A2A4D943D260}"/>
            </c:ext>
          </c:extLst>
        </c:ser>
        <c:ser>
          <c:idx val="3"/>
          <c:order val="3"/>
          <c:tx>
            <c:strRef>
              <c:f>'Задание 2.2'!$A$8</c:f>
              <c:strCache>
                <c:ptCount val="1"/>
                <c:pt idx="0">
                  <c:v>-2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2.2'!$B$8:$L$8</c:f>
              <c:numCache>
                <c:formatCode>General</c:formatCode>
                <c:ptCount val="11"/>
                <c:pt idx="0">
                  <c:v>60.25</c:v>
                </c:pt>
                <c:pt idx="1">
                  <c:v>40</c:v>
                </c:pt>
                <c:pt idx="2">
                  <c:v>24.25</c:v>
                </c:pt>
                <c:pt idx="3">
                  <c:v>13</c:v>
                </c:pt>
                <c:pt idx="4">
                  <c:v>6.25</c:v>
                </c:pt>
                <c:pt idx="5">
                  <c:v>4</c:v>
                </c:pt>
                <c:pt idx="6">
                  <c:v>6.25</c:v>
                </c:pt>
                <c:pt idx="7">
                  <c:v>13</c:v>
                </c:pt>
                <c:pt idx="8">
                  <c:v>24.25</c:v>
                </c:pt>
                <c:pt idx="9">
                  <c:v>40</c:v>
                </c:pt>
                <c:pt idx="10">
                  <c:v>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86-4C52-BC56-A2A4D943D260}"/>
            </c:ext>
          </c:extLst>
        </c:ser>
        <c:ser>
          <c:idx val="4"/>
          <c:order val="4"/>
          <c:tx>
            <c:strRef>
              <c:f>'Задание 2.2'!$A$9</c:f>
              <c:strCache>
                <c:ptCount val="1"/>
                <c:pt idx="0">
                  <c:v>-1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2.2'!$B$9:$L$9</c:f>
              <c:numCache>
                <c:formatCode>General</c:formatCode>
                <c:ptCount val="11"/>
                <c:pt idx="0">
                  <c:v>57.25</c:v>
                </c:pt>
                <c:pt idx="1">
                  <c:v>37</c:v>
                </c:pt>
                <c:pt idx="2">
                  <c:v>21.25</c:v>
                </c:pt>
                <c:pt idx="3">
                  <c:v>10</c:v>
                </c:pt>
                <c:pt idx="4">
                  <c:v>3.25</c:v>
                </c:pt>
                <c:pt idx="5">
                  <c:v>1</c:v>
                </c:pt>
                <c:pt idx="6">
                  <c:v>3.25</c:v>
                </c:pt>
                <c:pt idx="7">
                  <c:v>10</c:v>
                </c:pt>
                <c:pt idx="8">
                  <c:v>21.25</c:v>
                </c:pt>
                <c:pt idx="9">
                  <c:v>37</c:v>
                </c:pt>
                <c:pt idx="10">
                  <c:v>57.25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86-4C52-BC56-A2A4D943D260}"/>
            </c:ext>
          </c:extLst>
        </c:ser>
        <c:ser>
          <c:idx val="5"/>
          <c:order val="5"/>
          <c:tx>
            <c:strRef>
              <c:f>'Задание 2.2'!$A$10</c:f>
              <c:strCache>
                <c:ptCount val="1"/>
                <c:pt idx="0">
                  <c:v>0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2.2'!$B$10:$L$10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86-4C52-BC56-A2A4D943D260}"/>
            </c:ext>
          </c:extLst>
        </c:ser>
        <c:ser>
          <c:idx val="6"/>
          <c:order val="6"/>
          <c:tx>
            <c:strRef>
              <c:f>'Задание 2.2'!$A$11</c:f>
              <c:strCache>
                <c:ptCount val="1"/>
                <c:pt idx="0">
                  <c:v>1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2.2'!$B$11:$L$11</c:f>
              <c:numCache>
                <c:formatCode>General</c:formatCode>
                <c:ptCount val="11"/>
                <c:pt idx="0">
                  <c:v>57.25</c:v>
                </c:pt>
                <c:pt idx="1">
                  <c:v>37</c:v>
                </c:pt>
                <c:pt idx="2">
                  <c:v>21.25</c:v>
                </c:pt>
                <c:pt idx="3">
                  <c:v>10</c:v>
                </c:pt>
                <c:pt idx="4">
                  <c:v>3.25</c:v>
                </c:pt>
                <c:pt idx="5">
                  <c:v>1</c:v>
                </c:pt>
                <c:pt idx="6">
                  <c:v>3.25</c:v>
                </c:pt>
                <c:pt idx="7">
                  <c:v>10</c:v>
                </c:pt>
                <c:pt idx="8">
                  <c:v>21.25</c:v>
                </c:pt>
                <c:pt idx="9">
                  <c:v>37</c:v>
                </c:pt>
                <c:pt idx="10">
                  <c:v>57.25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86-4C52-BC56-A2A4D943D260}"/>
            </c:ext>
          </c:extLst>
        </c:ser>
        <c:ser>
          <c:idx val="7"/>
          <c:order val="7"/>
          <c:tx>
            <c:strRef>
              <c:f>'Задание 2.2'!$A$12</c:f>
              <c:strCache>
                <c:ptCount val="1"/>
                <c:pt idx="0">
                  <c:v>2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2.2'!$B$12:$L$12</c:f>
              <c:numCache>
                <c:formatCode>General</c:formatCode>
                <c:ptCount val="11"/>
                <c:pt idx="0">
                  <c:v>60.25</c:v>
                </c:pt>
                <c:pt idx="1">
                  <c:v>40</c:v>
                </c:pt>
                <c:pt idx="2">
                  <c:v>24.25</c:v>
                </c:pt>
                <c:pt idx="3">
                  <c:v>13</c:v>
                </c:pt>
                <c:pt idx="4">
                  <c:v>6.25</c:v>
                </c:pt>
                <c:pt idx="5">
                  <c:v>4</c:v>
                </c:pt>
                <c:pt idx="6">
                  <c:v>6.25</c:v>
                </c:pt>
                <c:pt idx="7">
                  <c:v>13</c:v>
                </c:pt>
                <c:pt idx="8">
                  <c:v>24.25</c:v>
                </c:pt>
                <c:pt idx="9">
                  <c:v>40</c:v>
                </c:pt>
                <c:pt idx="10">
                  <c:v>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86-4C52-BC56-A2A4D943D260}"/>
            </c:ext>
          </c:extLst>
        </c:ser>
        <c:ser>
          <c:idx val="8"/>
          <c:order val="8"/>
          <c:tx>
            <c:strRef>
              <c:f>'Задание 2.2'!$A$13</c:f>
              <c:strCache>
                <c:ptCount val="1"/>
                <c:pt idx="0">
                  <c:v>3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2.2'!$B$13:$L$13</c:f>
              <c:numCache>
                <c:formatCode>General</c:formatCode>
                <c:ptCount val="11"/>
                <c:pt idx="0">
                  <c:v>65.25</c:v>
                </c:pt>
                <c:pt idx="1">
                  <c:v>45</c:v>
                </c:pt>
                <c:pt idx="2">
                  <c:v>29.25</c:v>
                </c:pt>
                <c:pt idx="3">
                  <c:v>18</c:v>
                </c:pt>
                <c:pt idx="4">
                  <c:v>11.25</c:v>
                </c:pt>
                <c:pt idx="5">
                  <c:v>9</c:v>
                </c:pt>
                <c:pt idx="6">
                  <c:v>11.25</c:v>
                </c:pt>
                <c:pt idx="7">
                  <c:v>18</c:v>
                </c:pt>
                <c:pt idx="8">
                  <c:v>29.25</c:v>
                </c:pt>
                <c:pt idx="9">
                  <c:v>45</c:v>
                </c:pt>
                <c:pt idx="10">
                  <c:v>65.25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86-4C52-BC56-A2A4D943D260}"/>
            </c:ext>
          </c:extLst>
        </c:ser>
        <c:ser>
          <c:idx val="9"/>
          <c:order val="9"/>
          <c:tx>
            <c:strRef>
              <c:f>'Задание 2.2'!$A$14</c:f>
              <c:strCache>
                <c:ptCount val="1"/>
                <c:pt idx="0">
                  <c:v>4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2.2'!$B$14:$L$14</c:f>
              <c:numCache>
                <c:formatCode>General</c:formatCode>
                <c:ptCount val="11"/>
                <c:pt idx="0">
                  <c:v>72.25</c:v>
                </c:pt>
                <c:pt idx="1">
                  <c:v>52</c:v>
                </c:pt>
                <c:pt idx="2">
                  <c:v>36.25</c:v>
                </c:pt>
                <c:pt idx="3">
                  <c:v>25</c:v>
                </c:pt>
                <c:pt idx="4">
                  <c:v>18.25</c:v>
                </c:pt>
                <c:pt idx="5">
                  <c:v>16</c:v>
                </c:pt>
                <c:pt idx="6">
                  <c:v>18.25</c:v>
                </c:pt>
                <c:pt idx="7">
                  <c:v>25</c:v>
                </c:pt>
                <c:pt idx="8">
                  <c:v>36.25</c:v>
                </c:pt>
                <c:pt idx="9">
                  <c:v>52</c:v>
                </c:pt>
                <c:pt idx="10">
                  <c:v>72.25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86-4C52-BC56-A2A4D943D260}"/>
            </c:ext>
          </c:extLst>
        </c:ser>
        <c:ser>
          <c:idx val="10"/>
          <c:order val="10"/>
          <c:tx>
            <c:strRef>
              <c:f>'Задание 2.2'!$A$15</c:f>
              <c:strCache>
                <c:ptCount val="1"/>
                <c:pt idx="0">
                  <c:v>5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cat>
            <c:numRef>
              <c:f>'Задание 2.2'!$B$4:$L$4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2.2'!$B$15:$L$15</c:f>
              <c:numCache>
                <c:formatCode>General</c:formatCode>
                <c:ptCount val="11"/>
                <c:pt idx="0">
                  <c:v>81.25</c:v>
                </c:pt>
                <c:pt idx="1">
                  <c:v>61</c:v>
                </c:pt>
                <c:pt idx="2">
                  <c:v>45.25</c:v>
                </c:pt>
                <c:pt idx="3">
                  <c:v>34</c:v>
                </c:pt>
                <c:pt idx="4">
                  <c:v>27.25</c:v>
                </c:pt>
                <c:pt idx="5">
                  <c:v>25</c:v>
                </c:pt>
                <c:pt idx="6">
                  <c:v>27.25</c:v>
                </c:pt>
                <c:pt idx="7">
                  <c:v>34</c:v>
                </c:pt>
                <c:pt idx="8">
                  <c:v>45.25</c:v>
                </c:pt>
                <c:pt idx="9">
                  <c:v>61</c:v>
                </c:pt>
                <c:pt idx="10">
                  <c:v>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86-4C52-BC56-A2A4D943D260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398670368"/>
        <c:axId val="1398667872"/>
        <c:axId val="1543120816"/>
      </c:surface3DChart>
      <c:catAx>
        <c:axId val="139867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67872"/>
        <c:crosses val="autoZero"/>
        <c:auto val="1"/>
        <c:lblAlgn val="ctr"/>
        <c:lblOffset val="100"/>
        <c:noMultiLvlLbl val="0"/>
      </c:catAx>
      <c:valAx>
        <c:axId val="13986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70368"/>
        <c:crosses val="autoZero"/>
        <c:crossBetween val="midCat"/>
      </c:valAx>
      <c:serAx>
        <c:axId val="1543120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6787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Эллиптический параболоид 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'Задание 2.2 (2)'!$A$5</c:f>
              <c:strCache>
                <c:ptCount val="1"/>
                <c:pt idx="0">
                  <c:v>-5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(2)'!$B$5:$L$5</c:f>
              <c:numCache>
                <c:formatCode>General</c:formatCode>
                <c:ptCount val="11"/>
                <c:pt idx="0">
                  <c:v>2.5</c:v>
                </c:pt>
                <c:pt idx="1">
                  <c:v>1.69</c:v>
                </c:pt>
                <c:pt idx="2">
                  <c:v>1.06</c:v>
                </c:pt>
                <c:pt idx="3">
                  <c:v>0.61</c:v>
                </c:pt>
                <c:pt idx="4">
                  <c:v>0.33999999999999997</c:v>
                </c:pt>
                <c:pt idx="5">
                  <c:v>0.25</c:v>
                </c:pt>
                <c:pt idx="6">
                  <c:v>0.33999999999999997</c:v>
                </c:pt>
                <c:pt idx="7">
                  <c:v>0.61</c:v>
                </c:pt>
                <c:pt idx="8">
                  <c:v>1.06</c:v>
                </c:pt>
                <c:pt idx="9">
                  <c:v>1.69</c:v>
                </c:pt>
                <c:pt idx="1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D-4FDA-A57A-B05502331262}"/>
            </c:ext>
          </c:extLst>
        </c:ser>
        <c:ser>
          <c:idx val="1"/>
          <c:order val="1"/>
          <c:tx>
            <c:strRef>
              <c:f>'Задание 2.2 (2)'!$A$6</c:f>
              <c:strCache>
                <c:ptCount val="1"/>
                <c:pt idx="0">
                  <c:v>-4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(2)'!$B$6:$L$6</c:f>
              <c:numCache>
                <c:formatCode>General</c:formatCode>
                <c:ptCount val="11"/>
                <c:pt idx="0">
                  <c:v>2.41</c:v>
                </c:pt>
                <c:pt idx="1">
                  <c:v>1.5999999999999999</c:v>
                </c:pt>
                <c:pt idx="2">
                  <c:v>0.97000000000000008</c:v>
                </c:pt>
                <c:pt idx="3">
                  <c:v>0.52</c:v>
                </c:pt>
                <c:pt idx="4">
                  <c:v>0.25</c:v>
                </c:pt>
                <c:pt idx="5">
                  <c:v>0.16</c:v>
                </c:pt>
                <c:pt idx="6">
                  <c:v>0.25</c:v>
                </c:pt>
                <c:pt idx="7">
                  <c:v>0.52</c:v>
                </c:pt>
                <c:pt idx="8">
                  <c:v>0.97000000000000008</c:v>
                </c:pt>
                <c:pt idx="9">
                  <c:v>1.5999999999999999</c:v>
                </c:pt>
                <c:pt idx="10">
                  <c:v>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D-4FDA-A57A-B05502331262}"/>
            </c:ext>
          </c:extLst>
        </c:ser>
        <c:ser>
          <c:idx val="2"/>
          <c:order val="2"/>
          <c:tx>
            <c:strRef>
              <c:f>'Задание 2.2 (2)'!$A$7</c:f>
              <c:strCache>
                <c:ptCount val="1"/>
                <c:pt idx="0">
                  <c:v>-3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(2)'!$B$7:$L$7</c:f>
              <c:numCache>
                <c:formatCode>General</c:formatCode>
                <c:ptCount val="11"/>
                <c:pt idx="0">
                  <c:v>2.34</c:v>
                </c:pt>
                <c:pt idx="1">
                  <c:v>1.53</c:v>
                </c:pt>
                <c:pt idx="2">
                  <c:v>0.9</c:v>
                </c:pt>
                <c:pt idx="3">
                  <c:v>0.44999999999999996</c:v>
                </c:pt>
                <c:pt idx="4">
                  <c:v>0.18</c:v>
                </c:pt>
                <c:pt idx="5">
                  <c:v>0.09</c:v>
                </c:pt>
                <c:pt idx="6">
                  <c:v>0.18</c:v>
                </c:pt>
                <c:pt idx="7">
                  <c:v>0.44999999999999996</c:v>
                </c:pt>
                <c:pt idx="8">
                  <c:v>0.9</c:v>
                </c:pt>
                <c:pt idx="9">
                  <c:v>1.53</c:v>
                </c:pt>
                <c:pt idx="10">
                  <c:v>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D-4FDA-A57A-B05502331262}"/>
            </c:ext>
          </c:extLst>
        </c:ser>
        <c:ser>
          <c:idx val="3"/>
          <c:order val="3"/>
          <c:tx>
            <c:strRef>
              <c:f>'Задание 2.2 (2)'!$A$8</c:f>
              <c:strCache>
                <c:ptCount val="1"/>
                <c:pt idx="0">
                  <c:v>-2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(2)'!$B$8:$L$8</c:f>
              <c:numCache>
                <c:formatCode>General</c:formatCode>
                <c:ptCount val="11"/>
                <c:pt idx="0">
                  <c:v>2.29</c:v>
                </c:pt>
                <c:pt idx="1">
                  <c:v>1.48</c:v>
                </c:pt>
                <c:pt idx="2">
                  <c:v>0.85000000000000009</c:v>
                </c:pt>
                <c:pt idx="3">
                  <c:v>0.39999999999999997</c:v>
                </c:pt>
                <c:pt idx="4">
                  <c:v>0.13</c:v>
                </c:pt>
                <c:pt idx="5">
                  <c:v>0.04</c:v>
                </c:pt>
                <c:pt idx="6">
                  <c:v>0.13</c:v>
                </c:pt>
                <c:pt idx="7">
                  <c:v>0.39999999999999997</c:v>
                </c:pt>
                <c:pt idx="8">
                  <c:v>0.85000000000000009</c:v>
                </c:pt>
                <c:pt idx="9">
                  <c:v>1.48</c:v>
                </c:pt>
                <c:pt idx="10">
                  <c:v>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0D-4FDA-A57A-B05502331262}"/>
            </c:ext>
          </c:extLst>
        </c:ser>
        <c:ser>
          <c:idx val="4"/>
          <c:order val="4"/>
          <c:tx>
            <c:strRef>
              <c:f>'Задание 2.2 (2)'!$A$9</c:f>
              <c:strCache>
                <c:ptCount val="1"/>
                <c:pt idx="0">
                  <c:v>-1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(2)'!$B$9:$L$9</c:f>
              <c:numCache>
                <c:formatCode>General</c:formatCode>
                <c:ptCount val="11"/>
                <c:pt idx="0">
                  <c:v>2.2599999999999998</c:v>
                </c:pt>
                <c:pt idx="1">
                  <c:v>1.45</c:v>
                </c:pt>
                <c:pt idx="2">
                  <c:v>0.82000000000000006</c:v>
                </c:pt>
                <c:pt idx="3">
                  <c:v>0.37</c:v>
                </c:pt>
                <c:pt idx="4">
                  <c:v>9.9999999999999992E-2</c:v>
                </c:pt>
                <c:pt idx="5">
                  <c:v>0.01</c:v>
                </c:pt>
                <c:pt idx="6">
                  <c:v>9.9999999999999992E-2</c:v>
                </c:pt>
                <c:pt idx="7">
                  <c:v>0.37</c:v>
                </c:pt>
                <c:pt idx="8">
                  <c:v>0.82000000000000006</c:v>
                </c:pt>
                <c:pt idx="9">
                  <c:v>1.45</c:v>
                </c:pt>
                <c:pt idx="10">
                  <c:v>2.2599999999999998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0D-4FDA-A57A-B05502331262}"/>
            </c:ext>
          </c:extLst>
        </c:ser>
        <c:ser>
          <c:idx val="5"/>
          <c:order val="5"/>
          <c:tx>
            <c:strRef>
              <c:f>'Задание 2.2 (2)'!$A$10</c:f>
              <c:strCache>
                <c:ptCount val="1"/>
                <c:pt idx="0">
                  <c:v>0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(2)'!$B$10:$L$10</c:f>
              <c:numCache>
                <c:formatCode>General</c:formatCode>
                <c:ptCount val="11"/>
                <c:pt idx="0">
                  <c:v>2.25</c:v>
                </c:pt>
                <c:pt idx="1">
                  <c:v>1.44</c:v>
                </c:pt>
                <c:pt idx="2">
                  <c:v>0.81</c:v>
                </c:pt>
                <c:pt idx="3">
                  <c:v>0.36</c:v>
                </c:pt>
                <c:pt idx="4">
                  <c:v>0.09</c:v>
                </c:pt>
                <c:pt idx="5">
                  <c:v>0</c:v>
                </c:pt>
                <c:pt idx="6">
                  <c:v>0.09</c:v>
                </c:pt>
                <c:pt idx="7">
                  <c:v>0.36</c:v>
                </c:pt>
                <c:pt idx="8">
                  <c:v>0.81</c:v>
                </c:pt>
                <c:pt idx="9">
                  <c:v>1.44</c:v>
                </c:pt>
                <c:pt idx="1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0D-4FDA-A57A-B05502331262}"/>
            </c:ext>
          </c:extLst>
        </c:ser>
        <c:ser>
          <c:idx val="6"/>
          <c:order val="6"/>
          <c:tx>
            <c:strRef>
              <c:f>'Задание 2.2 (2)'!$A$11</c:f>
              <c:strCache>
                <c:ptCount val="1"/>
                <c:pt idx="0">
                  <c:v>1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(2)'!$B$11:$L$11</c:f>
              <c:numCache>
                <c:formatCode>General</c:formatCode>
                <c:ptCount val="11"/>
                <c:pt idx="0">
                  <c:v>2.2599999999999998</c:v>
                </c:pt>
                <c:pt idx="1">
                  <c:v>1.45</c:v>
                </c:pt>
                <c:pt idx="2">
                  <c:v>0.82000000000000006</c:v>
                </c:pt>
                <c:pt idx="3">
                  <c:v>0.37</c:v>
                </c:pt>
                <c:pt idx="4">
                  <c:v>9.9999999999999992E-2</c:v>
                </c:pt>
                <c:pt idx="5">
                  <c:v>0.01</c:v>
                </c:pt>
                <c:pt idx="6">
                  <c:v>9.9999999999999992E-2</c:v>
                </c:pt>
                <c:pt idx="7">
                  <c:v>0.37</c:v>
                </c:pt>
                <c:pt idx="8">
                  <c:v>0.82000000000000006</c:v>
                </c:pt>
                <c:pt idx="9">
                  <c:v>1.45</c:v>
                </c:pt>
                <c:pt idx="10">
                  <c:v>2.2599999999999998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0D-4FDA-A57A-B05502331262}"/>
            </c:ext>
          </c:extLst>
        </c:ser>
        <c:ser>
          <c:idx val="7"/>
          <c:order val="7"/>
          <c:tx>
            <c:strRef>
              <c:f>'Задание 2.2 (2)'!$A$12</c:f>
              <c:strCache>
                <c:ptCount val="1"/>
                <c:pt idx="0">
                  <c:v>2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(2)'!$B$12:$L$12</c:f>
              <c:numCache>
                <c:formatCode>General</c:formatCode>
                <c:ptCount val="11"/>
                <c:pt idx="0">
                  <c:v>2.29</c:v>
                </c:pt>
                <c:pt idx="1">
                  <c:v>1.48</c:v>
                </c:pt>
                <c:pt idx="2">
                  <c:v>0.85000000000000009</c:v>
                </c:pt>
                <c:pt idx="3">
                  <c:v>0.39999999999999997</c:v>
                </c:pt>
                <c:pt idx="4">
                  <c:v>0.13</c:v>
                </c:pt>
                <c:pt idx="5">
                  <c:v>0.04</c:v>
                </c:pt>
                <c:pt idx="6">
                  <c:v>0.13</c:v>
                </c:pt>
                <c:pt idx="7">
                  <c:v>0.39999999999999997</c:v>
                </c:pt>
                <c:pt idx="8">
                  <c:v>0.85000000000000009</c:v>
                </c:pt>
                <c:pt idx="9">
                  <c:v>1.48</c:v>
                </c:pt>
                <c:pt idx="10">
                  <c:v>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0D-4FDA-A57A-B05502331262}"/>
            </c:ext>
          </c:extLst>
        </c:ser>
        <c:ser>
          <c:idx val="8"/>
          <c:order val="8"/>
          <c:tx>
            <c:strRef>
              <c:f>'Задание 2.2 (2)'!$A$13</c:f>
              <c:strCache>
                <c:ptCount val="1"/>
                <c:pt idx="0">
                  <c:v>3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(2)'!$B$13:$L$13</c:f>
              <c:numCache>
                <c:formatCode>General</c:formatCode>
                <c:ptCount val="11"/>
                <c:pt idx="0">
                  <c:v>2.34</c:v>
                </c:pt>
                <c:pt idx="1">
                  <c:v>1.53</c:v>
                </c:pt>
                <c:pt idx="2">
                  <c:v>0.9</c:v>
                </c:pt>
                <c:pt idx="3">
                  <c:v>0.44999999999999996</c:v>
                </c:pt>
                <c:pt idx="4">
                  <c:v>0.18</c:v>
                </c:pt>
                <c:pt idx="5">
                  <c:v>0.09</c:v>
                </c:pt>
                <c:pt idx="6">
                  <c:v>0.18</c:v>
                </c:pt>
                <c:pt idx="7">
                  <c:v>0.44999999999999996</c:v>
                </c:pt>
                <c:pt idx="8">
                  <c:v>0.9</c:v>
                </c:pt>
                <c:pt idx="9">
                  <c:v>1.53</c:v>
                </c:pt>
                <c:pt idx="10">
                  <c:v>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0D-4FDA-A57A-B05502331262}"/>
            </c:ext>
          </c:extLst>
        </c:ser>
        <c:ser>
          <c:idx val="9"/>
          <c:order val="9"/>
          <c:tx>
            <c:strRef>
              <c:f>'Задание 2.2 (2)'!$A$14</c:f>
              <c:strCache>
                <c:ptCount val="1"/>
                <c:pt idx="0">
                  <c:v>4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(2)'!$B$14:$L$14</c:f>
              <c:numCache>
                <c:formatCode>General</c:formatCode>
                <c:ptCount val="11"/>
                <c:pt idx="0">
                  <c:v>2.41</c:v>
                </c:pt>
                <c:pt idx="1">
                  <c:v>1.5999999999999999</c:v>
                </c:pt>
                <c:pt idx="2">
                  <c:v>0.97000000000000008</c:v>
                </c:pt>
                <c:pt idx="3">
                  <c:v>0.52</c:v>
                </c:pt>
                <c:pt idx="4">
                  <c:v>0.25</c:v>
                </c:pt>
                <c:pt idx="5">
                  <c:v>0.16</c:v>
                </c:pt>
                <c:pt idx="6">
                  <c:v>0.25</c:v>
                </c:pt>
                <c:pt idx="7">
                  <c:v>0.52</c:v>
                </c:pt>
                <c:pt idx="8">
                  <c:v>0.97000000000000008</c:v>
                </c:pt>
                <c:pt idx="9">
                  <c:v>1.5999999999999999</c:v>
                </c:pt>
                <c:pt idx="10">
                  <c:v>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0D-4FDA-A57A-B05502331262}"/>
            </c:ext>
          </c:extLst>
        </c:ser>
        <c:ser>
          <c:idx val="10"/>
          <c:order val="10"/>
          <c:tx>
            <c:strRef>
              <c:f>'Задание 2.2 (2)'!$A$15</c:f>
              <c:strCache>
                <c:ptCount val="1"/>
                <c:pt idx="0">
                  <c:v>5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cat>
            <c:numRef>
              <c:f>'Задание 2.2 (2)'!$B$4:$L$4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 (2)'!$B$15:$L$15</c:f>
              <c:numCache>
                <c:formatCode>General</c:formatCode>
                <c:ptCount val="11"/>
                <c:pt idx="0">
                  <c:v>2.5</c:v>
                </c:pt>
                <c:pt idx="1">
                  <c:v>1.69</c:v>
                </c:pt>
                <c:pt idx="2">
                  <c:v>1.06</c:v>
                </c:pt>
                <c:pt idx="3">
                  <c:v>0.61</c:v>
                </c:pt>
                <c:pt idx="4">
                  <c:v>0.33999999999999997</c:v>
                </c:pt>
                <c:pt idx="5">
                  <c:v>0.25</c:v>
                </c:pt>
                <c:pt idx="6">
                  <c:v>0.33999999999999997</c:v>
                </c:pt>
                <c:pt idx="7">
                  <c:v>0.61</c:v>
                </c:pt>
                <c:pt idx="8">
                  <c:v>1.06</c:v>
                </c:pt>
                <c:pt idx="9">
                  <c:v>1.69</c:v>
                </c:pt>
                <c:pt idx="1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0D-4FDA-A57A-B05502331262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398670368"/>
        <c:axId val="1398667872"/>
        <c:axId val="1543120816"/>
      </c:surface3DChart>
      <c:catAx>
        <c:axId val="139867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67872"/>
        <c:crosses val="autoZero"/>
        <c:auto val="1"/>
        <c:lblAlgn val="ctr"/>
        <c:lblOffset val="100"/>
        <c:noMultiLvlLbl val="0"/>
      </c:catAx>
      <c:valAx>
        <c:axId val="13986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70368"/>
        <c:crosses val="autoZero"/>
        <c:crossBetween val="midCat"/>
      </c:valAx>
      <c:serAx>
        <c:axId val="1543120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67872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4</xdr:row>
      <xdr:rowOff>209550</xdr:rowOff>
    </xdr:from>
    <xdr:to>
      <xdr:col>8</xdr:col>
      <xdr:colOff>407040</xdr:colOff>
      <xdr:row>22</xdr:row>
      <xdr:rowOff>54750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B3F41CE-489D-81C3-A02D-4614D4DB5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30</xdr:row>
      <xdr:rowOff>194310</xdr:rowOff>
    </xdr:from>
    <xdr:to>
      <xdr:col>8</xdr:col>
      <xdr:colOff>429900</xdr:colOff>
      <xdr:row>48</xdr:row>
      <xdr:rowOff>39510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CAEC627-16AE-AC6F-F097-73FA415D4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54</xdr:row>
      <xdr:rowOff>217170</xdr:rowOff>
    </xdr:from>
    <xdr:to>
      <xdr:col>8</xdr:col>
      <xdr:colOff>460380</xdr:colOff>
      <xdr:row>72</xdr:row>
      <xdr:rowOff>62370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6B8F7CC-BC1E-25DE-CD6F-E1751FF49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480060</xdr:colOff>
      <xdr:row>77</xdr:row>
      <xdr:rowOff>194310</xdr:rowOff>
    </xdr:from>
    <xdr:to>
      <xdr:col>9</xdr:col>
      <xdr:colOff>33660</xdr:colOff>
      <xdr:row>95</xdr:row>
      <xdr:rowOff>39510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0226F68-5B93-467C-3660-CA8C9ACBD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106680</xdr:colOff>
      <xdr:row>78</xdr:row>
      <xdr:rowOff>72390</xdr:rowOff>
    </xdr:from>
    <xdr:ext cx="74238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42E464-498D-F0E7-26FF-B479E39C4F8C}"/>
                </a:ext>
              </a:extLst>
            </xdr:cNvPr>
            <xdr:cNvSpPr txBox="1"/>
          </xdr:nvSpPr>
          <xdr:spPr>
            <a:xfrm>
              <a:off x="3154680" y="17903190"/>
              <a:ext cx="74238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0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𝐲</m:t>
                            </m:r>
                            <m:r>
                              <a:rPr lang="en-US" sz="1200" b="1" i="0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200" b="1" i="0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𝐥𝐨𝐠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>
                                    <a:lumMod val="65000"/>
                                    <a:lumOff val="3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𝒂</m:t>
                            </m:r>
                          </m:sub>
                        </m:sSub>
                      </m:fName>
                      <m:e>
                        <m:r>
                          <a:rPr lang="en-US" sz="1200" b="1" i="1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</m:func>
                  </m:oMath>
                </m:oMathPara>
              </a14:m>
              <a:endParaRPr lang="ru-RU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42E464-498D-F0E7-26FF-B479E39C4F8C}"/>
                </a:ext>
              </a:extLst>
            </xdr:cNvPr>
            <xdr:cNvSpPr txBox="1"/>
          </xdr:nvSpPr>
          <xdr:spPr>
            <a:xfrm>
              <a:off x="3154680" y="17903190"/>
              <a:ext cx="74238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</a:rPr>
                <a:t>〖𝐲=𝐥𝐨𝐠〗_𝒂⁡𝒃</a:t>
              </a:r>
              <a:endParaRPr lang="ru-RU" sz="12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15</xdr:row>
      <xdr:rowOff>224790</xdr:rowOff>
    </xdr:from>
    <xdr:to>
      <xdr:col>9</xdr:col>
      <xdr:colOff>102240</xdr:colOff>
      <xdr:row>33</xdr:row>
      <xdr:rowOff>69990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E99BF2-CCED-6861-A2EC-416725697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15</xdr:row>
      <xdr:rowOff>224790</xdr:rowOff>
    </xdr:from>
    <xdr:to>
      <xdr:col>9</xdr:col>
      <xdr:colOff>102240</xdr:colOff>
      <xdr:row>33</xdr:row>
      <xdr:rowOff>69990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97C81F8-F8F7-474B-A360-CEB59B466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2BD0-5A5D-413B-AE8B-0355AC5CAC60}">
  <dimension ref="A1:F2"/>
  <sheetViews>
    <sheetView zoomScaleNormal="100" workbookViewId="0">
      <selection activeCell="D12" sqref="D12"/>
    </sheetView>
  </sheetViews>
  <sheetFormatPr defaultRowHeight="18" x14ac:dyDescent="0.3"/>
  <cols>
    <col min="1" max="6" width="19.33203125" style="2" customWidth="1"/>
    <col min="7" max="16384" width="8.88671875" style="2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12</v>
      </c>
      <c r="B2" s="4">
        <v>6</v>
      </c>
      <c r="C2" s="4">
        <v>2000</v>
      </c>
      <c r="D2" s="4">
        <v>1</v>
      </c>
      <c r="E2" s="4">
        <v>57</v>
      </c>
      <c r="F2" s="4">
        <v>50</v>
      </c>
    </row>
  </sheetData>
  <pageMargins left="0.7" right="0.7" top="1.125" bottom="0.75" header="0.3" footer="0.3"/>
  <pageSetup paperSize="9" orientation="portrait" r:id="rId1"/>
  <headerFooter>
    <oddHeader>&amp;CГумирова Алена Альбертовна
2 подгруппа
12.06.2000г.
50 вариант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C86A-D710-45CE-8FFD-6B7AC509AACE}">
  <dimension ref="A1:Q77"/>
  <sheetViews>
    <sheetView topLeftCell="A64" zoomScaleNormal="100" workbookViewId="0">
      <selection activeCell="M79" sqref="M79"/>
    </sheetView>
  </sheetViews>
  <sheetFormatPr defaultRowHeight="18" x14ac:dyDescent="0.3"/>
  <cols>
    <col min="1" max="16384" width="8.88671875" style="2"/>
  </cols>
  <sheetData>
    <row r="1" spans="1:8" x14ac:dyDescent="0.3">
      <c r="A1" s="9" t="s">
        <v>8</v>
      </c>
      <c r="B1" s="10"/>
    </row>
    <row r="3" spans="1:8" x14ac:dyDescent="0.3">
      <c r="A3" s="3" t="s">
        <v>6</v>
      </c>
      <c r="B3" s="4">
        <v>-6</v>
      </c>
      <c r="C3" s="4">
        <v>-4</v>
      </c>
      <c r="D3" s="4">
        <v>-2</v>
      </c>
      <c r="E3" s="4">
        <v>0</v>
      </c>
      <c r="F3" s="4">
        <v>2</v>
      </c>
      <c r="G3" s="4">
        <v>4</v>
      </c>
      <c r="H3" s="4">
        <v>6</v>
      </c>
    </row>
    <row r="4" spans="1:8" x14ac:dyDescent="0.3">
      <c r="A4" s="3" t="s">
        <v>7</v>
      </c>
      <c r="B4" s="4">
        <f>ABS('Задание 2.0'!$F$2/'Задание 2.0'!$A$2+ABS(B3))</f>
        <v>10.166666666666668</v>
      </c>
      <c r="C4" s="4">
        <f>ABS('Задание 2.0'!$F$2/'Задание 2.0'!$A$2+ABS(C3))</f>
        <v>8.1666666666666679</v>
      </c>
      <c r="D4" s="4">
        <f>ABS('Задание 2.0'!$F$2/'Задание 2.0'!$A$2+ABS(D3))</f>
        <v>6.166666666666667</v>
      </c>
      <c r="E4" s="4">
        <f>ABS('Задание 2.0'!$F$2/'Задание 2.0'!$A$2+ABS(E3))</f>
        <v>4.166666666666667</v>
      </c>
      <c r="F4" s="4">
        <f>ABS('Задание 2.0'!$F$2/'Задание 2.0'!$A$2+ABS(F3))</f>
        <v>6.166666666666667</v>
      </c>
      <c r="G4" s="4">
        <f>ABS('Задание 2.0'!$F$2/'Задание 2.0'!$A$2+ABS(G3))</f>
        <v>8.1666666666666679</v>
      </c>
      <c r="H4" s="4">
        <f>ABS('Задание 2.0'!$F$2/'Задание 2.0'!$A$2+ABS(H3))</f>
        <v>10.166666666666668</v>
      </c>
    </row>
    <row r="25" spans="1:10" x14ac:dyDescent="0.3">
      <c r="A25" s="9" t="s">
        <v>9</v>
      </c>
      <c r="B25" s="10"/>
    </row>
    <row r="27" spans="1:10" x14ac:dyDescent="0.3">
      <c r="A27" s="3" t="s">
        <v>10</v>
      </c>
      <c r="B27" s="4">
        <f>MOD('Задание 2.0'!C2,2)</f>
        <v>0</v>
      </c>
    </row>
    <row r="29" spans="1:10" x14ac:dyDescent="0.3">
      <c r="A29" s="3" t="s">
        <v>6</v>
      </c>
      <c r="B29" s="4">
        <v>-2.5</v>
      </c>
      <c r="C29" s="4">
        <v>-1.5</v>
      </c>
      <c r="D29" s="4">
        <v>-0.75</v>
      </c>
      <c r="E29" s="4">
        <v>-0.25</v>
      </c>
      <c r="F29" s="4">
        <v>0</v>
      </c>
      <c r="G29" s="4">
        <v>0.25</v>
      </c>
      <c r="H29" s="4">
        <v>0.75</v>
      </c>
      <c r="I29" s="4">
        <v>1.5</v>
      </c>
      <c r="J29" s="4">
        <v>2</v>
      </c>
    </row>
    <row r="30" spans="1:10" x14ac:dyDescent="0.3">
      <c r="A30" s="3" t="s">
        <v>7</v>
      </c>
      <c r="B30" s="4">
        <f xml:space="preserve"> 'Задание 2.0'!$A$2*POWER('Задание 2.1'!B29,2)+'Задание 2.0'!$B$2*'Задание 2.1'!B29+'Задание 2.1'!B27</f>
        <v>60</v>
      </c>
      <c r="C30" s="4">
        <f xml:space="preserve"> 'Задание 2.0'!$A$2*POWER('Задание 2.1'!C29,2)+'Задание 2.0'!$B$2*'Задание 2.1'!C29+'Задание 2.1'!C27</f>
        <v>18</v>
      </c>
      <c r="D30" s="4">
        <f xml:space="preserve"> 'Задание 2.0'!$A$2*POWER('Задание 2.1'!D29,2)+'Задание 2.0'!$B$2*'Задание 2.1'!D29+'Задание 2.1'!D27</f>
        <v>2.25</v>
      </c>
      <c r="E30" s="4">
        <f xml:space="preserve"> 'Задание 2.0'!$A$2*POWER('Задание 2.1'!E29,2)+'Задание 2.0'!$B$2*'Задание 2.1'!E29+'Задание 2.1'!E27</f>
        <v>-0.75</v>
      </c>
      <c r="F30" s="4">
        <f xml:space="preserve"> 'Задание 2.0'!$A$2*POWER('Задание 2.1'!F29,2)+'Задание 2.0'!$B$2*'Задание 2.1'!F29+'Задание 2.1'!F27</f>
        <v>0</v>
      </c>
      <c r="G30" s="4">
        <f xml:space="preserve"> 'Задание 2.0'!$A$2*POWER('Задание 2.1'!G29,2)+'Задание 2.0'!$B$2*'Задание 2.1'!G29+'Задание 2.1'!G27</f>
        <v>2.25</v>
      </c>
      <c r="H30" s="4">
        <f xml:space="preserve"> 'Задание 2.0'!$A$2*POWER('Задание 2.1'!H29,2)+'Задание 2.0'!$B$2*'Задание 2.1'!H29+'Задание 2.1'!H27</f>
        <v>11.25</v>
      </c>
      <c r="I30" s="4">
        <f xml:space="preserve"> 'Задание 2.0'!$A$2*POWER('Задание 2.1'!I29,2)+'Задание 2.0'!$B$2*'Задание 2.1'!I29+'Задание 2.1'!I27</f>
        <v>36</v>
      </c>
      <c r="J30" s="4">
        <f xml:space="preserve"> 'Задание 2.0'!$A$2*POWER('Задание 2.1'!J29,2)+'Задание 2.0'!$B$2*'Задание 2.1'!J29+'Задание 2.1'!J27</f>
        <v>60</v>
      </c>
    </row>
    <row r="51" spans="1:17" x14ac:dyDescent="0.3">
      <c r="A51" s="9" t="s">
        <v>11</v>
      </c>
      <c r="B51" s="10"/>
    </row>
    <row r="53" spans="1:17" x14ac:dyDescent="0.3">
      <c r="A53" s="3" t="s">
        <v>6</v>
      </c>
      <c r="B53" s="4">
        <v>-2</v>
      </c>
      <c r="C53" s="4">
        <v>-1.5</v>
      </c>
      <c r="D53" s="4">
        <v>-1.25</v>
      </c>
      <c r="E53" s="4">
        <v>-1</v>
      </c>
      <c r="F53" s="4">
        <v>-0.75</v>
      </c>
      <c r="G53" s="4">
        <v>-0.25</v>
      </c>
      <c r="H53" s="4">
        <v>0</v>
      </c>
      <c r="I53" s="4">
        <v>0.5</v>
      </c>
      <c r="J53" s="4">
        <v>1</v>
      </c>
      <c r="K53" s="4">
        <v>1.5</v>
      </c>
      <c r="L53" s="4">
        <v>2</v>
      </c>
      <c r="M53" s="4">
        <v>2.5</v>
      </c>
      <c r="N53" s="4">
        <v>3</v>
      </c>
      <c r="O53" s="4">
        <v>3.5</v>
      </c>
      <c r="P53" s="4">
        <v>4</v>
      </c>
      <c r="Q53" s="4">
        <v>4.5</v>
      </c>
    </row>
    <row r="54" spans="1:17" x14ac:dyDescent="0.3">
      <c r="A54" s="3" t="s">
        <v>7</v>
      </c>
      <c r="B54" s="4">
        <f>ABS(-5*POWER(B53,2)+AVERAGE('Задание 2.0'!$A$2,'Задание 2.0'!$B$2,'Задание 2.0'!$F$2)*B53+AVERAGE('Задание 2.0'!$D$2,'Задание 2.0'!$E$2,2))</f>
        <v>45.333333333333343</v>
      </c>
      <c r="C54" s="4">
        <f>ABS(-5*POWER(C53,2)+AVERAGE('Задание 2.0'!$A$2,'Задание 2.0'!$B$2,'Задание 2.0'!$F$2)*C53+AVERAGE('Задание 2.0'!$D$2,'Задание 2.0'!$E$2,2))</f>
        <v>25.25</v>
      </c>
      <c r="D54" s="4">
        <f>ABS(-5*POWER(D53,2)+AVERAGE('Задание 2.0'!$A$2,'Задание 2.0'!$B$2,'Задание 2.0'!$F$2)*D53+AVERAGE('Задание 2.0'!$D$2,'Задание 2.0'!$E$2,2))</f>
        <v>16.145833333333336</v>
      </c>
      <c r="E54" s="4">
        <f>ABS(-5*POWER(E53,2)+AVERAGE('Задание 2.0'!$A$2,'Задание 2.0'!$B$2,'Задание 2.0'!$F$2)*E53+AVERAGE('Задание 2.0'!$D$2,'Задание 2.0'!$E$2,2))</f>
        <v>7.6666666666666679</v>
      </c>
      <c r="F54" s="4">
        <f>ABS(-5*POWER(F53,2)+AVERAGE('Задание 2.0'!$A$2,'Задание 2.0'!$B$2,'Задание 2.0'!$F$2)*F53+AVERAGE('Задание 2.0'!$D$2,'Задание 2.0'!$E$2,2))</f>
        <v>0.1875</v>
      </c>
      <c r="G54" s="4">
        <f>ABS(-5*POWER(G53,2)+AVERAGE('Задание 2.0'!$A$2,'Задание 2.0'!$B$2,'Задание 2.0'!$F$2)*G53+AVERAGE('Задание 2.0'!$D$2,'Задание 2.0'!$E$2,2))</f>
        <v>14.020833333333332</v>
      </c>
      <c r="H54" s="4">
        <f>ABS(-5*POWER(H53,2)+AVERAGE('Задание 2.0'!$A$2,'Задание 2.0'!$B$2,'Задание 2.0'!$F$2)*H53+AVERAGE('Задание 2.0'!$D$2,'Задание 2.0'!$E$2,2))</f>
        <v>20</v>
      </c>
      <c r="I54" s="4">
        <f>ABS(-5*POWER(I53,2)+AVERAGE('Задание 2.0'!$A$2,'Задание 2.0'!$B$2,'Задание 2.0'!$F$2)*I53+AVERAGE('Задание 2.0'!$D$2,'Задание 2.0'!$E$2,2))</f>
        <v>30.083333333333336</v>
      </c>
      <c r="J54" s="4">
        <f>ABS(-5*POWER(J53,2)+AVERAGE('Задание 2.0'!$A$2,'Задание 2.0'!$B$2,'Задание 2.0'!$F$2)*J53+AVERAGE('Задание 2.0'!$D$2,'Задание 2.0'!$E$2,2))</f>
        <v>37.666666666666671</v>
      </c>
      <c r="K54" s="4">
        <f>ABS(-5*POWER(K53,2)+AVERAGE('Задание 2.0'!$A$2,'Задание 2.0'!$B$2,'Задание 2.0'!$F$2)*K53+AVERAGE('Задание 2.0'!$D$2,'Задание 2.0'!$E$2,2))</f>
        <v>42.75</v>
      </c>
      <c r="L54" s="4">
        <f>ABS(-5*POWER(L53,2)+AVERAGE('Задание 2.0'!$A$2,'Задание 2.0'!$B$2,'Задание 2.0'!$F$2)*L53+AVERAGE('Задание 2.0'!$D$2,'Задание 2.0'!$E$2,2))</f>
        <v>45.333333333333336</v>
      </c>
      <c r="M54" s="4">
        <f>ABS(-5*POWER(M53,2)+AVERAGE('Задание 2.0'!$A$2,'Задание 2.0'!$B$2,'Задание 2.0'!$F$2)*M53+AVERAGE('Задание 2.0'!$D$2,'Задание 2.0'!$E$2,2))</f>
        <v>45.416666666666671</v>
      </c>
      <c r="N54" s="4">
        <f>ABS(-5*POWER(N53,2)+AVERAGE('Задание 2.0'!$A$2,'Задание 2.0'!$B$2,'Задание 2.0'!$F$2)*N53+AVERAGE('Задание 2.0'!$D$2,'Задание 2.0'!$E$2,2))</f>
        <v>43</v>
      </c>
      <c r="O54" s="4">
        <f>ABS(-5*POWER(O53,2)+AVERAGE('Задание 2.0'!$A$2,'Задание 2.0'!$B$2,'Задание 2.0'!$F$2)*O53+AVERAGE('Задание 2.0'!$D$2,'Задание 2.0'!$E$2,2))</f>
        <v>38.083333333333343</v>
      </c>
      <c r="P54" s="4">
        <f>ABS(-5*POWER(P53,2)+AVERAGE('Задание 2.0'!$A$2,'Задание 2.0'!$B$2,'Задание 2.0'!$F$2)*P53+AVERAGE('Задание 2.0'!$D$2,'Задание 2.0'!$E$2,2))</f>
        <v>30.666666666666671</v>
      </c>
      <c r="Q54" s="4">
        <f>ABS(-5*POWER(Q53,2)+AVERAGE('Задание 2.0'!$A$2,'Задание 2.0'!$B$2,'Задание 2.0'!$F$2)*Q53+AVERAGE('Задание 2.0'!$D$2,'Задание 2.0'!$E$2,2))</f>
        <v>20.75</v>
      </c>
    </row>
    <row r="75" spans="1:7" x14ac:dyDescent="0.3">
      <c r="A75" s="9" t="s">
        <v>12</v>
      </c>
      <c r="B75" s="10"/>
    </row>
    <row r="77" spans="1:7" x14ac:dyDescent="0.3">
      <c r="A77" s="3" t="s">
        <v>7</v>
      </c>
      <c r="B77" s="4">
        <f>LOG(GCD('Задание 2.0'!$A$2,'Задание 2.0'!$E$2)*'Задание 2.0'!$F$2,ABS('Задание 2.0'!$D$2-'Задание 2.0'!$A$2)*3)</f>
        <v>1.4330400280886939</v>
      </c>
      <c r="C77" s="4">
        <f>LOG(GCD('Задание 2.0'!$A$2,'Задание 2.0'!$E$2)*'Задание 2.0'!$F$2,ABS('Задание 2.0'!$D$2-'Задание 2.0'!$A$2)*3)</f>
        <v>1.4330400280886939</v>
      </c>
      <c r="D77" s="4">
        <f>LOG(GCD('Задание 2.0'!$A$2,'Задание 2.0'!$E$2)*'Задание 2.0'!$F$2,ABS('Задание 2.0'!$D$2-'Задание 2.0'!$A$2)*3)</f>
        <v>1.4330400280886939</v>
      </c>
      <c r="E77" s="4">
        <f>LOG(GCD('Задание 2.0'!$A$2,'Задание 2.0'!$E$2)*'Задание 2.0'!$F$2,ABS('Задание 2.0'!$D$2-'Задание 2.0'!$A$2)*3)</f>
        <v>1.4330400280886939</v>
      </c>
      <c r="F77" s="4">
        <f>LOG(GCD('Задание 2.0'!$A$2,'Задание 2.0'!$E$2)*'Задание 2.0'!$F$2,ABS('Задание 2.0'!$D$2-'Задание 2.0'!$A$2)*3)</f>
        <v>1.4330400280886939</v>
      </c>
      <c r="G77" s="4">
        <f>LOG(GCD('Задание 2.0'!$A$2,'Задание 2.0'!$E$2)*'Задание 2.0'!$F$2,ABS('Задание 2.0'!$D$2-'Задание 2.0'!$A$2)*3)</f>
        <v>1.4330400280886939</v>
      </c>
    </row>
  </sheetData>
  <mergeCells count="4">
    <mergeCell ref="A1:B1"/>
    <mergeCell ref="A25:B25"/>
    <mergeCell ref="A51:B51"/>
    <mergeCell ref="A75:B75"/>
  </mergeCells>
  <pageMargins left="0.7" right="0.7" top="1.1333333333333333" bottom="0.75" header="0.3" footer="0.3"/>
  <pageSetup paperSize="9" orientation="portrait" r:id="rId1"/>
  <headerFooter>
    <oddHeader>&amp;CГумирова Алена Альбертовна
2 подгруппа
12.06.2000г.
50 вариант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6838-3621-432F-9E79-4DA764A775C9}">
  <dimension ref="A1:L15"/>
  <sheetViews>
    <sheetView zoomScaleNormal="100" workbookViewId="0">
      <selection activeCell="K20" sqref="K20"/>
    </sheetView>
  </sheetViews>
  <sheetFormatPr defaultRowHeight="18" x14ac:dyDescent="0.35"/>
  <cols>
    <col min="1" max="16384" width="8.88671875" style="1"/>
  </cols>
  <sheetData>
    <row r="1" spans="1:12" x14ac:dyDescent="0.35">
      <c r="A1" s="7" t="s">
        <v>13</v>
      </c>
      <c r="B1" s="8">
        <v>1</v>
      </c>
    </row>
    <row r="2" spans="1:12" x14ac:dyDescent="0.35">
      <c r="A2" s="7" t="s">
        <v>14</v>
      </c>
      <c r="B2" s="8">
        <v>1</v>
      </c>
    </row>
    <row r="4" spans="1:12" x14ac:dyDescent="0.35">
      <c r="A4" s="5"/>
      <c r="B4" s="6">
        <v>-7.5</v>
      </c>
      <c r="C4" s="6">
        <v>-6</v>
      </c>
      <c r="D4" s="6">
        <v>-4.5</v>
      </c>
      <c r="E4" s="6">
        <v>-3</v>
      </c>
      <c r="F4" s="6">
        <v>-1.5</v>
      </c>
      <c r="G4" s="6">
        <v>0</v>
      </c>
      <c r="H4" s="6">
        <v>1.5</v>
      </c>
      <c r="I4" s="6">
        <v>3</v>
      </c>
      <c r="J4" s="6">
        <v>4.5</v>
      </c>
      <c r="K4" s="6">
        <v>6</v>
      </c>
      <c r="L4" s="6">
        <v>7.5</v>
      </c>
    </row>
    <row r="5" spans="1:12" x14ac:dyDescent="0.35">
      <c r="A5" s="6">
        <v>-5</v>
      </c>
      <c r="B5" s="5">
        <f>POWER(B$4,2)/POWER($B$1,2)+POWER($A5,2)/POWER($B$2,2)</f>
        <v>81.25</v>
      </c>
      <c r="C5" s="5">
        <f t="shared" ref="C5:L15" si="0">POWER(C$4,2)/POWER($B$1,2)+POWER($A5,2)/POWER($B$2,2)</f>
        <v>61</v>
      </c>
      <c r="D5" s="5">
        <f t="shared" si="0"/>
        <v>45.25</v>
      </c>
      <c r="E5" s="5">
        <f t="shared" si="0"/>
        <v>34</v>
      </c>
      <c r="F5" s="5">
        <f t="shared" si="0"/>
        <v>27.25</v>
      </c>
      <c r="G5" s="5">
        <f t="shared" si="0"/>
        <v>25</v>
      </c>
      <c r="H5" s="5">
        <f t="shared" si="0"/>
        <v>27.25</v>
      </c>
      <c r="I5" s="5">
        <f t="shared" si="0"/>
        <v>34</v>
      </c>
      <c r="J5" s="5">
        <f t="shared" si="0"/>
        <v>45.25</v>
      </c>
      <c r="K5" s="5">
        <f t="shared" si="0"/>
        <v>61</v>
      </c>
      <c r="L5" s="5">
        <f t="shared" si="0"/>
        <v>81.25</v>
      </c>
    </row>
    <row r="6" spans="1:12" x14ac:dyDescent="0.35">
      <c r="A6" s="6">
        <v>-4</v>
      </c>
      <c r="B6" s="5">
        <f t="shared" ref="B6:B15" si="1">POWER(B$4,2)/POWER($B$1,2)+POWER($A6,2)/POWER($B$2,2)</f>
        <v>72.25</v>
      </c>
      <c r="C6" s="5">
        <f t="shared" si="0"/>
        <v>52</v>
      </c>
      <c r="D6" s="5">
        <f t="shared" si="0"/>
        <v>36.25</v>
      </c>
      <c r="E6" s="5">
        <f t="shared" si="0"/>
        <v>25</v>
      </c>
      <c r="F6" s="5">
        <f t="shared" si="0"/>
        <v>18.25</v>
      </c>
      <c r="G6" s="5">
        <f t="shared" si="0"/>
        <v>16</v>
      </c>
      <c r="H6" s="5">
        <f t="shared" si="0"/>
        <v>18.25</v>
      </c>
      <c r="I6" s="5">
        <f t="shared" si="0"/>
        <v>25</v>
      </c>
      <c r="J6" s="5">
        <f t="shared" si="0"/>
        <v>36.25</v>
      </c>
      <c r="K6" s="5">
        <f t="shared" si="0"/>
        <v>52</v>
      </c>
      <c r="L6" s="5">
        <f t="shared" si="0"/>
        <v>72.25</v>
      </c>
    </row>
    <row r="7" spans="1:12" x14ac:dyDescent="0.35">
      <c r="A7" s="6">
        <v>-3</v>
      </c>
      <c r="B7" s="5">
        <f t="shared" si="1"/>
        <v>65.25</v>
      </c>
      <c r="C7" s="5">
        <f t="shared" si="0"/>
        <v>45</v>
      </c>
      <c r="D7" s="5">
        <f t="shared" si="0"/>
        <v>29.25</v>
      </c>
      <c r="E7" s="5">
        <f t="shared" si="0"/>
        <v>18</v>
      </c>
      <c r="F7" s="5">
        <f t="shared" si="0"/>
        <v>11.25</v>
      </c>
      <c r="G7" s="5">
        <f t="shared" si="0"/>
        <v>9</v>
      </c>
      <c r="H7" s="5">
        <f t="shared" si="0"/>
        <v>11.25</v>
      </c>
      <c r="I7" s="5">
        <f t="shared" si="0"/>
        <v>18</v>
      </c>
      <c r="J7" s="5">
        <f t="shared" si="0"/>
        <v>29.25</v>
      </c>
      <c r="K7" s="5">
        <f t="shared" si="0"/>
        <v>45</v>
      </c>
      <c r="L7" s="5">
        <f t="shared" si="0"/>
        <v>65.25</v>
      </c>
    </row>
    <row r="8" spans="1:12" x14ac:dyDescent="0.35">
      <c r="A8" s="6">
        <v>-2</v>
      </c>
      <c r="B8" s="5">
        <f t="shared" si="1"/>
        <v>60.25</v>
      </c>
      <c r="C8" s="5">
        <f t="shared" si="0"/>
        <v>40</v>
      </c>
      <c r="D8" s="5">
        <f t="shared" si="0"/>
        <v>24.25</v>
      </c>
      <c r="E8" s="5">
        <f t="shared" si="0"/>
        <v>13</v>
      </c>
      <c r="F8" s="5">
        <f t="shared" si="0"/>
        <v>6.25</v>
      </c>
      <c r="G8" s="5">
        <f t="shared" si="0"/>
        <v>4</v>
      </c>
      <c r="H8" s="5">
        <f t="shared" si="0"/>
        <v>6.25</v>
      </c>
      <c r="I8" s="5">
        <f t="shared" si="0"/>
        <v>13</v>
      </c>
      <c r="J8" s="5">
        <f t="shared" si="0"/>
        <v>24.25</v>
      </c>
      <c r="K8" s="5">
        <f t="shared" si="0"/>
        <v>40</v>
      </c>
      <c r="L8" s="5">
        <f t="shared" si="0"/>
        <v>60.25</v>
      </c>
    </row>
    <row r="9" spans="1:12" x14ac:dyDescent="0.35">
      <c r="A9" s="6">
        <v>-1</v>
      </c>
      <c r="B9" s="5">
        <f t="shared" si="1"/>
        <v>57.25</v>
      </c>
      <c r="C9" s="5">
        <f t="shared" si="0"/>
        <v>37</v>
      </c>
      <c r="D9" s="5">
        <f t="shared" si="0"/>
        <v>21.25</v>
      </c>
      <c r="E9" s="5">
        <f t="shared" si="0"/>
        <v>10</v>
      </c>
      <c r="F9" s="5">
        <f t="shared" si="0"/>
        <v>3.25</v>
      </c>
      <c r="G9" s="5">
        <f t="shared" si="0"/>
        <v>1</v>
      </c>
      <c r="H9" s="5">
        <f t="shared" si="0"/>
        <v>3.25</v>
      </c>
      <c r="I9" s="5">
        <f t="shared" si="0"/>
        <v>10</v>
      </c>
      <c r="J9" s="5">
        <f t="shared" si="0"/>
        <v>21.25</v>
      </c>
      <c r="K9" s="5">
        <f t="shared" si="0"/>
        <v>37</v>
      </c>
      <c r="L9" s="5">
        <f t="shared" si="0"/>
        <v>57.25</v>
      </c>
    </row>
    <row r="10" spans="1:12" x14ac:dyDescent="0.35">
      <c r="A10" s="6">
        <v>0</v>
      </c>
      <c r="B10" s="5">
        <f t="shared" si="1"/>
        <v>56.25</v>
      </c>
      <c r="C10" s="5">
        <f t="shared" si="0"/>
        <v>36</v>
      </c>
      <c r="D10" s="5">
        <f t="shared" si="0"/>
        <v>20.25</v>
      </c>
      <c r="E10" s="5">
        <f t="shared" si="0"/>
        <v>9</v>
      </c>
      <c r="F10" s="5">
        <f t="shared" si="0"/>
        <v>2.25</v>
      </c>
      <c r="G10" s="5">
        <f t="shared" si="0"/>
        <v>0</v>
      </c>
      <c r="H10" s="5">
        <f t="shared" si="0"/>
        <v>2.25</v>
      </c>
      <c r="I10" s="5">
        <f t="shared" si="0"/>
        <v>9</v>
      </c>
      <c r="J10" s="5">
        <f t="shared" si="0"/>
        <v>20.25</v>
      </c>
      <c r="K10" s="5">
        <f t="shared" si="0"/>
        <v>36</v>
      </c>
      <c r="L10" s="5">
        <f t="shared" si="0"/>
        <v>56.25</v>
      </c>
    </row>
    <row r="11" spans="1:12" x14ac:dyDescent="0.35">
      <c r="A11" s="6">
        <v>1</v>
      </c>
      <c r="B11" s="5">
        <f t="shared" si="1"/>
        <v>57.25</v>
      </c>
      <c r="C11" s="5">
        <f t="shared" si="0"/>
        <v>37</v>
      </c>
      <c r="D11" s="5">
        <f t="shared" si="0"/>
        <v>21.25</v>
      </c>
      <c r="E11" s="5">
        <f t="shared" si="0"/>
        <v>10</v>
      </c>
      <c r="F11" s="5">
        <f t="shared" si="0"/>
        <v>3.25</v>
      </c>
      <c r="G11" s="5">
        <f t="shared" si="0"/>
        <v>1</v>
      </c>
      <c r="H11" s="5">
        <f t="shared" si="0"/>
        <v>3.25</v>
      </c>
      <c r="I11" s="5">
        <f t="shared" si="0"/>
        <v>10</v>
      </c>
      <c r="J11" s="5">
        <f t="shared" si="0"/>
        <v>21.25</v>
      </c>
      <c r="K11" s="5">
        <f t="shared" si="0"/>
        <v>37</v>
      </c>
      <c r="L11" s="5">
        <f t="shared" si="0"/>
        <v>57.25</v>
      </c>
    </row>
    <row r="12" spans="1:12" x14ac:dyDescent="0.35">
      <c r="A12" s="6">
        <v>2</v>
      </c>
      <c r="B12" s="5">
        <f t="shared" si="1"/>
        <v>60.25</v>
      </c>
      <c r="C12" s="5">
        <f t="shared" si="0"/>
        <v>40</v>
      </c>
      <c r="D12" s="5">
        <f t="shared" si="0"/>
        <v>24.25</v>
      </c>
      <c r="E12" s="5">
        <f t="shared" si="0"/>
        <v>13</v>
      </c>
      <c r="F12" s="5">
        <f t="shared" si="0"/>
        <v>6.25</v>
      </c>
      <c r="G12" s="5">
        <f t="shared" si="0"/>
        <v>4</v>
      </c>
      <c r="H12" s="5">
        <f t="shared" si="0"/>
        <v>6.25</v>
      </c>
      <c r="I12" s="5">
        <f t="shared" si="0"/>
        <v>13</v>
      </c>
      <c r="J12" s="5">
        <f t="shared" si="0"/>
        <v>24.25</v>
      </c>
      <c r="K12" s="5">
        <f t="shared" si="0"/>
        <v>40</v>
      </c>
      <c r="L12" s="5">
        <f t="shared" si="0"/>
        <v>60.25</v>
      </c>
    </row>
    <row r="13" spans="1:12" x14ac:dyDescent="0.35">
      <c r="A13" s="6">
        <v>3</v>
      </c>
      <c r="B13" s="5">
        <f t="shared" si="1"/>
        <v>65.25</v>
      </c>
      <c r="C13" s="5">
        <f t="shared" si="0"/>
        <v>45</v>
      </c>
      <c r="D13" s="5">
        <f t="shared" si="0"/>
        <v>29.25</v>
      </c>
      <c r="E13" s="5">
        <f t="shared" si="0"/>
        <v>18</v>
      </c>
      <c r="F13" s="5">
        <f t="shared" si="0"/>
        <v>11.25</v>
      </c>
      <c r="G13" s="5">
        <f t="shared" si="0"/>
        <v>9</v>
      </c>
      <c r="H13" s="5">
        <f t="shared" si="0"/>
        <v>11.25</v>
      </c>
      <c r="I13" s="5">
        <f t="shared" si="0"/>
        <v>18</v>
      </c>
      <c r="J13" s="5">
        <f t="shared" si="0"/>
        <v>29.25</v>
      </c>
      <c r="K13" s="5">
        <f t="shared" si="0"/>
        <v>45</v>
      </c>
      <c r="L13" s="5">
        <f t="shared" si="0"/>
        <v>65.25</v>
      </c>
    </row>
    <row r="14" spans="1:12" x14ac:dyDescent="0.35">
      <c r="A14" s="6">
        <v>4</v>
      </c>
      <c r="B14" s="5">
        <f t="shared" si="1"/>
        <v>72.25</v>
      </c>
      <c r="C14" s="5">
        <f t="shared" si="0"/>
        <v>52</v>
      </c>
      <c r="D14" s="5">
        <f t="shared" si="0"/>
        <v>36.25</v>
      </c>
      <c r="E14" s="5">
        <f t="shared" si="0"/>
        <v>25</v>
      </c>
      <c r="F14" s="5">
        <f t="shared" si="0"/>
        <v>18.25</v>
      </c>
      <c r="G14" s="5">
        <f t="shared" si="0"/>
        <v>16</v>
      </c>
      <c r="H14" s="5">
        <f t="shared" si="0"/>
        <v>18.25</v>
      </c>
      <c r="I14" s="5">
        <f t="shared" si="0"/>
        <v>25</v>
      </c>
      <c r="J14" s="5">
        <f t="shared" si="0"/>
        <v>36.25</v>
      </c>
      <c r="K14" s="5">
        <f t="shared" si="0"/>
        <v>52</v>
      </c>
      <c r="L14" s="5">
        <f t="shared" si="0"/>
        <v>72.25</v>
      </c>
    </row>
    <row r="15" spans="1:12" x14ac:dyDescent="0.35">
      <c r="A15" s="6">
        <v>5</v>
      </c>
      <c r="B15" s="5">
        <f t="shared" si="1"/>
        <v>81.25</v>
      </c>
      <c r="C15" s="5">
        <f t="shared" si="0"/>
        <v>61</v>
      </c>
      <c r="D15" s="5">
        <f t="shared" si="0"/>
        <v>45.25</v>
      </c>
      <c r="E15" s="5">
        <f t="shared" si="0"/>
        <v>34</v>
      </c>
      <c r="F15" s="5">
        <f t="shared" si="0"/>
        <v>27.25</v>
      </c>
      <c r="G15" s="5">
        <f t="shared" si="0"/>
        <v>25</v>
      </c>
      <c r="H15" s="5">
        <f t="shared" si="0"/>
        <v>27.25</v>
      </c>
      <c r="I15" s="5">
        <f t="shared" si="0"/>
        <v>34</v>
      </c>
      <c r="J15" s="5">
        <f t="shared" si="0"/>
        <v>45.25</v>
      </c>
      <c r="K15" s="5">
        <f t="shared" si="0"/>
        <v>61</v>
      </c>
      <c r="L15" s="5">
        <f t="shared" si="0"/>
        <v>81.25</v>
      </c>
    </row>
  </sheetData>
  <pageMargins left="0.7" right="0.7" top="1.1166666666666667" bottom="0.75" header="0.3" footer="0.3"/>
  <pageSetup paperSize="9" orientation="portrait" r:id="rId1"/>
  <headerFooter>
    <oddHeader>&amp;CГумирова Алена Альбертовна
2 подгруппа
12.06.2000г.
50 вариант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90E6-C808-45D2-BA4B-71AE8698F816}">
  <dimension ref="A1:O22"/>
  <sheetViews>
    <sheetView tabSelected="1" topLeftCell="B4" zoomScaleNormal="100" workbookViewId="0">
      <selection activeCell="K17" sqref="K17:O22"/>
    </sheetView>
  </sheetViews>
  <sheetFormatPr defaultRowHeight="18" x14ac:dyDescent="0.35"/>
  <cols>
    <col min="1" max="16384" width="8.88671875" style="1"/>
  </cols>
  <sheetData>
    <row r="1" spans="1:12" x14ac:dyDescent="0.35">
      <c r="A1" s="7" t="s">
        <v>13</v>
      </c>
      <c r="B1" s="8">
        <v>5</v>
      </c>
    </row>
    <row r="2" spans="1:12" x14ac:dyDescent="0.35">
      <c r="A2" s="7" t="s">
        <v>14</v>
      </c>
      <c r="B2" s="8">
        <v>10</v>
      </c>
    </row>
    <row r="4" spans="1:12" x14ac:dyDescent="0.35">
      <c r="A4" s="5"/>
      <c r="B4" s="6">
        <v>-7.5</v>
      </c>
      <c r="C4" s="6">
        <v>-6</v>
      </c>
      <c r="D4" s="6">
        <v>-4.5</v>
      </c>
      <c r="E4" s="6">
        <v>-3</v>
      </c>
      <c r="F4" s="6">
        <v>-1.5</v>
      </c>
      <c r="G4" s="6">
        <v>0</v>
      </c>
      <c r="H4" s="6">
        <v>1.5</v>
      </c>
      <c r="I4" s="6">
        <v>3</v>
      </c>
      <c r="J4" s="6">
        <v>4.5</v>
      </c>
      <c r="K4" s="6">
        <v>6</v>
      </c>
      <c r="L4" s="6">
        <v>7.5</v>
      </c>
    </row>
    <row r="5" spans="1:12" x14ac:dyDescent="0.35">
      <c r="A5" s="6">
        <v>-5</v>
      </c>
      <c r="B5" s="5">
        <f>POWER(B$4,2)/POWER($B$1,2)+POWER($A5,2)/POWER($B$2,2)</f>
        <v>2.5</v>
      </c>
      <c r="C5" s="5">
        <f t="shared" ref="C5:L15" si="0">POWER(C$4,2)/POWER($B$1,2)+POWER($A5,2)/POWER($B$2,2)</f>
        <v>1.69</v>
      </c>
      <c r="D5" s="5">
        <f t="shared" si="0"/>
        <v>1.06</v>
      </c>
      <c r="E5" s="5">
        <f t="shared" si="0"/>
        <v>0.61</v>
      </c>
      <c r="F5" s="5">
        <f t="shared" si="0"/>
        <v>0.33999999999999997</v>
      </c>
      <c r="G5" s="5">
        <f t="shared" si="0"/>
        <v>0.25</v>
      </c>
      <c r="H5" s="5">
        <f t="shared" si="0"/>
        <v>0.33999999999999997</v>
      </c>
      <c r="I5" s="5">
        <f t="shared" si="0"/>
        <v>0.61</v>
      </c>
      <c r="J5" s="5">
        <f t="shared" si="0"/>
        <v>1.06</v>
      </c>
      <c r="K5" s="5">
        <f t="shared" si="0"/>
        <v>1.69</v>
      </c>
      <c r="L5" s="5">
        <f t="shared" si="0"/>
        <v>2.5</v>
      </c>
    </row>
    <row r="6" spans="1:12" x14ac:dyDescent="0.35">
      <c r="A6" s="6">
        <v>-4</v>
      </c>
      <c r="B6" s="5">
        <f t="shared" ref="B6:B15" si="1">POWER(B$4,2)/POWER($B$1,2)+POWER($A6,2)/POWER($B$2,2)</f>
        <v>2.41</v>
      </c>
      <c r="C6" s="5">
        <f t="shared" si="0"/>
        <v>1.5999999999999999</v>
      </c>
      <c r="D6" s="5">
        <f t="shared" si="0"/>
        <v>0.97000000000000008</v>
      </c>
      <c r="E6" s="5">
        <f t="shared" si="0"/>
        <v>0.52</v>
      </c>
      <c r="F6" s="5">
        <f t="shared" si="0"/>
        <v>0.25</v>
      </c>
      <c r="G6" s="5">
        <f t="shared" si="0"/>
        <v>0.16</v>
      </c>
      <c r="H6" s="5">
        <f t="shared" si="0"/>
        <v>0.25</v>
      </c>
      <c r="I6" s="5">
        <f t="shared" si="0"/>
        <v>0.52</v>
      </c>
      <c r="J6" s="5">
        <f t="shared" si="0"/>
        <v>0.97000000000000008</v>
      </c>
      <c r="K6" s="5">
        <f t="shared" si="0"/>
        <v>1.5999999999999999</v>
      </c>
      <c r="L6" s="5">
        <f t="shared" si="0"/>
        <v>2.41</v>
      </c>
    </row>
    <row r="7" spans="1:12" x14ac:dyDescent="0.35">
      <c r="A7" s="6">
        <v>-3</v>
      </c>
      <c r="B7" s="5">
        <f t="shared" si="1"/>
        <v>2.34</v>
      </c>
      <c r="C7" s="5">
        <f t="shared" si="0"/>
        <v>1.53</v>
      </c>
      <c r="D7" s="5">
        <f t="shared" si="0"/>
        <v>0.9</v>
      </c>
      <c r="E7" s="5">
        <f t="shared" si="0"/>
        <v>0.44999999999999996</v>
      </c>
      <c r="F7" s="5">
        <f t="shared" si="0"/>
        <v>0.18</v>
      </c>
      <c r="G7" s="5">
        <f t="shared" si="0"/>
        <v>0.09</v>
      </c>
      <c r="H7" s="5">
        <f t="shared" si="0"/>
        <v>0.18</v>
      </c>
      <c r="I7" s="5">
        <f t="shared" si="0"/>
        <v>0.44999999999999996</v>
      </c>
      <c r="J7" s="5">
        <f t="shared" si="0"/>
        <v>0.9</v>
      </c>
      <c r="K7" s="5">
        <f t="shared" si="0"/>
        <v>1.53</v>
      </c>
      <c r="L7" s="5">
        <f t="shared" si="0"/>
        <v>2.34</v>
      </c>
    </row>
    <row r="8" spans="1:12" x14ac:dyDescent="0.35">
      <c r="A8" s="6">
        <v>-2</v>
      </c>
      <c r="B8" s="5">
        <f t="shared" si="1"/>
        <v>2.29</v>
      </c>
      <c r="C8" s="5">
        <f t="shared" si="0"/>
        <v>1.48</v>
      </c>
      <c r="D8" s="5">
        <f t="shared" si="0"/>
        <v>0.85000000000000009</v>
      </c>
      <c r="E8" s="5">
        <f t="shared" si="0"/>
        <v>0.39999999999999997</v>
      </c>
      <c r="F8" s="5">
        <f t="shared" si="0"/>
        <v>0.13</v>
      </c>
      <c r="G8" s="5">
        <f t="shared" si="0"/>
        <v>0.04</v>
      </c>
      <c r="H8" s="5">
        <f t="shared" si="0"/>
        <v>0.13</v>
      </c>
      <c r="I8" s="5">
        <f t="shared" si="0"/>
        <v>0.39999999999999997</v>
      </c>
      <c r="J8" s="5">
        <f t="shared" si="0"/>
        <v>0.85000000000000009</v>
      </c>
      <c r="K8" s="5">
        <f t="shared" si="0"/>
        <v>1.48</v>
      </c>
      <c r="L8" s="5">
        <f t="shared" si="0"/>
        <v>2.29</v>
      </c>
    </row>
    <row r="9" spans="1:12" x14ac:dyDescent="0.35">
      <c r="A9" s="6">
        <v>-1</v>
      </c>
      <c r="B9" s="5">
        <f t="shared" si="1"/>
        <v>2.2599999999999998</v>
      </c>
      <c r="C9" s="5">
        <f t="shared" si="0"/>
        <v>1.45</v>
      </c>
      <c r="D9" s="5">
        <f t="shared" si="0"/>
        <v>0.82000000000000006</v>
      </c>
      <c r="E9" s="5">
        <f t="shared" si="0"/>
        <v>0.37</v>
      </c>
      <c r="F9" s="5">
        <f t="shared" si="0"/>
        <v>9.9999999999999992E-2</v>
      </c>
      <c r="G9" s="5">
        <f t="shared" si="0"/>
        <v>0.01</v>
      </c>
      <c r="H9" s="5">
        <f t="shared" si="0"/>
        <v>9.9999999999999992E-2</v>
      </c>
      <c r="I9" s="5">
        <f t="shared" si="0"/>
        <v>0.37</v>
      </c>
      <c r="J9" s="5">
        <f t="shared" si="0"/>
        <v>0.82000000000000006</v>
      </c>
      <c r="K9" s="5">
        <f t="shared" si="0"/>
        <v>1.45</v>
      </c>
      <c r="L9" s="5">
        <f t="shared" si="0"/>
        <v>2.2599999999999998</v>
      </c>
    </row>
    <row r="10" spans="1:12" x14ac:dyDescent="0.35">
      <c r="A10" s="6">
        <v>0</v>
      </c>
      <c r="B10" s="5">
        <f t="shared" si="1"/>
        <v>2.25</v>
      </c>
      <c r="C10" s="5">
        <f t="shared" si="0"/>
        <v>1.44</v>
      </c>
      <c r="D10" s="5">
        <f t="shared" si="0"/>
        <v>0.81</v>
      </c>
      <c r="E10" s="5">
        <f t="shared" si="0"/>
        <v>0.36</v>
      </c>
      <c r="F10" s="5">
        <f t="shared" si="0"/>
        <v>0.09</v>
      </c>
      <c r="G10" s="5">
        <f t="shared" si="0"/>
        <v>0</v>
      </c>
      <c r="H10" s="5">
        <f t="shared" si="0"/>
        <v>0.09</v>
      </c>
      <c r="I10" s="5">
        <f t="shared" si="0"/>
        <v>0.36</v>
      </c>
      <c r="J10" s="5">
        <f t="shared" si="0"/>
        <v>0.81</v>
      </c>
      <c r="K10" s="5">
        <f t="shared" si="0"/>
        <v>1.44</v>
      </c>
      <c r="L10" s="5">
        <f t="shared" si="0"/>
        <v>2.25</v>
      </c>
    </row>
    <row r="11" spans="1:12" x14ac:dyDescent="0.35">
      <c r="A11" s="6">
        <v>1</v>
      </c>
      <c r="B11" s="5">
        <f t="shared" si="1"/>
        <v>2.2599999999999998</v>
      </c>
      <c r="C11" s="5">
        <f t="shared" si="0"/>
        <v>1.45</v>
      </c>
      <c r="D11" s="5">
        <f t="shared" si="0"/>
        <v>0.82000000000000006</v>
      </c>
      <c r="E11" s="5">
        <f t="shared" si="0"/>
        <v>0.37</v>
      </c>
      <c r="F11" s="5">
        <f t="shared" si="0"/>
        <v>9.9999999999999992E-2</v>
      </c>
      <c r="G11" s="5">
        <f t="shared" si="0"/>
        <v>0.01</v>
      </c>
      <c r="H11" s="5">
        <f t="shared" si="0"/>
        <v>9.9999999999999992E-2</v>
      </c>
      <c r="I11" s="5">
        <f t="shared" si="0"/>
        <v>0.37</v>
      </c>
      <c r="J11" s="5">
        <f t="shared" si="0"/>
        <v>0.82000000000000006</v>
      </c>
      <c r="K11" s="5">
        <f t="shared" si="0"/>
        <v>1.45</v>
      </c>
      <c r="L11" s="5">
        <f t="shared" si="0"/>
        <v>2.2599999999999998</v>
      </c>
    </row>
    <row r="12" spans="1:12" x14ac:dyDescent="0.35">
      <c r="A12" s="6">
        <v>2</v>
      </c>
      <c r="B12" s="5">
        <f t="shared" si="1"/>
        <v>2.29</v>
      </c>
      <c r="C12" s="5">
        <f t="shared" si="0"/>
        <v>1.48</v>
      </c>
      <c r="D12" s="5">
        <f t="shared" si="0"/>
        <v>0.85000000000000009</v>
      </c>
      <c r="E12" s="5">
        <f t="shared" si="0"/>
        <v>0.39999999999999997</v>
      </c>
      <c r="F12" s="5">
        <f t="shared" si="0"/>
        <v>0.13</v>
      </c>
      <c r="G12" s="5">
        <f t="shared" si="0"/>
        <v>0.04</v>
      </c>
      <c r="H12" s="5">
        <f t="shared" si="0"/>
        <v>0.13</v>
      </c>
      <c r="I12" s="5">
        <f t="shared" si="0"/>
        <v>0.39999999999999997</v>
      </c>
      <c r="J12" s="5">
        <f t="shared" si="0"/>
        <v>0.85000000000000009</v>
      </c>
      <c r="K12" s="5">
        <f t="shared" si="0"/>
        <v>1.48</v>
      </c>
      <c r="L12" s="5">
        <f t="shared" si="0"/>
        <v>2.29</v>
      </c>
    </row>
    <row r="13" spans="1:12" x14ac:dyDescent="0.35">
      <c r="A13" s="6">
        <v>3</v>
      </c>
      <c r="B13" s="5">
        <f t="shared" si="1"/>
        <v>2.34</v>
      </c>
      <c r="C13" s="5">
        <f t="shared" si="0"/>
        <v>1.53</v>
      </c>
      <c r="D13" s="5">
        <f t="shared" si="0"/>
        <v>0.9</v>
      </c>
      <c r="E13" s="5">
        <f t="shared" si="0"/>
        <v>0.44999999999999996</v>
      </c>
      <c r="F13" s="5">
        <f t="shared" si="0"/>
        <v>0.18</v>
      </c>
      <c r="G13" s="5">
        <f t="shared" si="0"/>
        <v>0.09</v>
      </c>
      <c r="H13" s="5">
        <f t="shared" si="0"/>
        <v>0.18</v>
      </c>
      <c r="I13" s="5">
        <f t="shared" si="0"/>
        <v>0.44999999999999996</v>
      </c>
      <c r="J13" s="5">
        <f t="shared" si="0"/>
        <v>0.9</v>
      </c>
      <c r="K13" s="5">
        <f t="shared" si="0"/>
        <v>1.53</v>
      </c>
      <c r="L13" s="5">
        <f t="shared" si="0"/>
        <v>2.34</v>
      </c>
    </row>
    <row r="14" spans="1:12" x14ac:dyDescent="0.35">
      <c r="A14" s="6">
        <v>4</v>
      </c>
      <c r="B14" s="5">
        <f t="shared" si="1"/>
        <v>2.41</v>
      </c>
      <c r="C14" s="5">
        <f t="shared" si="0"/>
        <v>1.5999999999999999</v>
      </c>
      <c r="D14" s="5">
        <f t="shared" si="0"/>
        <v>0.97000000000000008</v>
      </c>
      <c r="E14" s="5">
        <f t="shared" si="0"/>
        <v>0.52</v>
      </c>
      <c r="F14" s="5">
        <f t="shared" si="0"/>
        <v>0.25</v>
      </c>
      <c r="G14" s="5">
        <f t="shared" si="0"/>
        <v>0.16</v>
      </c>
      <c r="H14" s="5">
        <f t="shared" si="0"/>
        <v>0.25</v>
      </c>
      <c r="I14" s="5">
        <f t="shared" si="0"/>
        <v>0.52</v>
      </c>
      <c r="J14" s="5">
        <f t="shared" si="0"/>
        <v>0.97000000000000008</v>
      </c>
      <c r="K14" s="5">
        <f t="shared" si="0"/>
        <v>1.5999999999999999</v>
      </c>
      <c r="L14" s="5">
        <f t="shared" si="0"/>
        <v>2.41</v>
      </c>
    </row>
    <row r="15" spans="1:12" x14ac:dyDescent="0.35">
      <c r="A15" s="6">
        <v>5</v>
      </c>
      <c r="B15" s="5">
        <f t="shared" si="1"/>
        <v>2.5</v>
      </c>
      <c r="C15" s="5">
        <f t="shared" si="0"/>
        <v>1.69</v>
      </c>
      <c r="D15" s="5">
        <f t="shared" si="0"/>
        <v>1.06</v>
      </c>
      <c r="E15" s="5">
        <f t="shared" si="0"/>
        <v>0.61</v>
      </c>
      <c r="F15" s="5">
        <f t="shared" si="0"/>
        <v>0.33999999999999997</v>
      </c>
      <c r="G15" s="5">
        <f t="shared" si="0"/>
        <v>0.25</v>
      </c>
      <c r="H15" s="5">
        <f t="shared" si="0"/>
        <v>0.33999999999999997</v>
      </c>
      <c r="I15" s="5">
        <f t="shared" si="0"/>
        <v>0.61</v>
      </c>
      <c r="J15" s="5">
        <f t="shared" si="0"/>
        <v>1.06</v>
      </c>
      <c r="K15" s="5">
        <f t="shared" si="0"/>
        <v>1.69</v>
      </c>
      <c r="L15" s="5">
        <f t="shared" si="0"/>
        <v>2.5</v>
      </c>
    </row>
    <row r="17" spans="11:15" x14ac:dyDescent="0.35">
      <c r="K17" s="11" t="s">
        <v>15</v>
      </c>
      <c r="L17" s="11"/>
      <c r="M17" s="11"/>
      <c r="N17" s="11"/>
      <c r="O17" s="11"/>
    </row>
    <row r="18" spans="11:15" x14ac:dyDescent="0.35">
      <c r="K18" s="11"/>
      <c r="L18" s="11"/>
      <c r="M18" s="11"/>
      <c r="N18" s="11"/>
      <c r="O18" s="11"/>
    </row>
    <row r="19" spans="11:15" x14ac:dyDescent="0.35">
      <c r="K19" s="11"/>
      <c r="L19" s="11"/>
      <c r="M19" s="11"/>
      <c r="N19" s="11"/>
      <c r="O19" s="11"/>
    </row>
    <row r="20" spans="11:15" x14ac:dyDescent="0.35">
      <c r="K20" s="11"/>
      <c r="L20" s="11"/>
      <c r="M20" s="11"/>
      <c r="N20" s="11"/>
      <c r="O20" s="11"/>
    </row>
    <row r="21" spans="11:15" x14ac:dyDescent="0.35">
      <c r="K21" s="11"/>
      <c r="L21" s="11"/>
      <c r="M21" s="11"/>
      <c r="N21" s="11"/>
      <c r="O21" s="11"/>
    </row>
    <row r="22" spans="11:15" x14ac:dyDescent="0.35">
      <c r="K22" s="11"/>
      <c r="L22" s="11"/>
      <c r="M22" s="11"/>
      <c r="N22" s="11"/>
      <c r="O22" s="11"/>
    </row>
  </sheetData>
  <mergeCells count="1">
    <mergeCell ref="K17:O22"/>
  </mergeCells>
  <pageMargins left="0.7" right="0.7" top="1.1166666666666667" bottom="0.75" header="0.3" footer="0.3"/>
  <pageSetup paperSize="9" orientation="portrait" r:id="rId1"/>
  <headerFooter>
    <oddHeader>&amp;CГумирова Алена Альбертовна
2 подгруппа
12.06.2000г.
50 вариант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2.0</vt:lpstr>
      <vt:lpstr>Задание 2.1</vt:lpstr>
      <vt:lpstr>Задание 2.2</vt:lpstr>
      <vt:lpstr>Задание 2.2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Kanoo</dc:creator>
  <cp:lastModifiedBy>Kanoo</cp:lastModifiedBy>
  <dcterms:created xsi:type="dcterms:W3CDTF">2015-06-05T18:19:34Z</dcterms:created>
  <dcterms:modified xsi:type="dcterms:W3CDTF">2022-12-16T09:44:03Z</dcterms:modified>
</cp:coreProperties>
</file>